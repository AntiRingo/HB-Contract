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徐海涛\Desktop\"/>
    </mc:Choice>
  </mc:AlternateContent>
  <xr:revisionPtr revIDLastSave="0" documentId="13_ncr:1_{EF90CE65-0BE7-46ED-A393-FF32D371E04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USD合同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G13" i="3"/>
  <c r="G12" i="3"/>
  <c r="G14" i="3" l="1"/>
</calcChain>
</file>

<file path=xl/sharedStrings.xml><?xml version="1.0" encoding="utf-8"?>
<sst xmlns="http://schemas.openxmlformats.org/spreadsheetml/2006/main" count="66" uniqueCount="61">
  <si>
    <t>（片）</t>
    <phoneticPr fontId="1" type="noConversion"/>
  </si>
  <si>
    <t>供   方</t>
    <phoneticPr fontId="1" type="noConversion"/>
  </si>
  <si>
    <t xml:space="preserve">SQ#: </t>
    <phoneticPr fontId="1" type="noConversion"/>
  </si>
  <si>
    <t>供方:</t>
    <phoneticPr fontId="1" type="noConversion"/>
  </si>
  <si>
    <t>需方:</t>
    <phoneticPr fontId="1" type="noConversion"/>
  </si>
  <si>
    <t>需   方</t>
    <phoneticPr fontId="1" type="noConversion"/>
  </si>
  <si>
    <t>852-2375 8866</t>
    <phoneticPr fontId="1" type="noConversion"/>
  </si>
  <si>
    <t>852-2375 7700</t>
    <phoneticPr fontId="1" type="noConversion"/>
  </si>
  <si>
    <t>266-112879-001</t>
    <phoneticPr fontId="13" type="noConversion"/>
  </si>
  <si>
    <t>公司地址 ：</t>
    <phoneticPr fontId="1" type="noConversion"/>
  </si>
  <si>
    <t>MACNICA CYTECH LIMITED.</t>
    <phoneticPr fontId="1" type="noConversion"/>
  </si>
  <si>
    <t>HANG SENG BANK LTD.
(TSIMSHATSUI BRANCH)</t>
    <phoneticPr fontId="1" type="noConversion"/>
  </si>
  <si>
    <t>8) 所有付汇所产生的银行费用均由买方承担。</t>
    <phoneticPr fontId="1" type="noConversion"/>
  </si>
  <si>
    <t>266-112879-203</t>
    <phoneticPr fontId="13" type="noConversion"/>
  </si>
  <si>
    <t>预计交货期</t>
    <phoneticPr fontId="1" type="noConversion"/>
  </si>
  <si>
    <t>1) 产品名称、型号、数量、金额：</t>
    <phoneticPr fontId="1" type="noConversion"/>
  </si>
  <si>
    <t>7) 本合同自双方盖章之日起生效。合同传真件、复印件或扫描件视同合同原件。</t>
    <phoneticPr fontId="16" type="noConversion"/>
  </si>
  <si>
    <t>9) 需方可在境外原厂给予的限期前更改要求交货日期，但属于不可取消不可退货（即NCNR）的产品除外。</t>
    <phoneticPr fontId="1" type="noConversion"/>
  </si>
  <si>
    <t>销 售 合 同</t>
    <phoneticPr fontId="1" type="noConversion"/>
  </si>
  <si>
    <t>11) 合同金额为五万港币以上（包含五万）本公司只接受本票和银行转账汇款。</t>
    <phoneticPr fontId="1" type="noConversion"/>
  </si>
  <si>
    <t>总金额</t>
    <phoneticPr fontId="1" type="noConversion"/>
  </si>
  <si>
    <t>骏龙科技有限公司</t>
    <phoneticPr fontId="1" type="noConversion"/>
  </si>
  <si>
    <t>品名规格</t>
    <phoneticPr fontId="1" type="noConversion"/>
  </si>
  <si>
    <t>数量</t>
    <phoneticPr fontId="1" type="noConversion"/>
  </si>
  <si>
    <t>单价</t>
    <phoneticPr fontId="1" type="noConversion"/>
  </si>
  <si>
    <t>合计</t>
    <phoneticPr fontId="1" type="noConversion"/>
  </si>
  <si>
    <t>公司名称：</t>
    <phoneticPr fontId="1" type="noConversion"/>
  </si>
  <si>
    <t>电话   ：</t>
    <phoneticPr fontId="1" type="noConversion"/>
  </si>
  <si>
    <t>传真   ：</t>
    <phoneticPr fontId="1" type="noConversion"/>
  </si>
  <si>
    <t>开户银行：</t>
    <phoneticPr fontId="1" type="noConversion"/>
  </si>
  <si>
    <t>美元账号 (USD)</t>
    <phoneticPr fontId="13" type="noConversion"/>
  </si>
  <si>
    <t>港元账号 (HKD)</t>
    <phoneticPr fontId="13" type="noConversion"/>
  </si>
  <si>
    <t>委托代理人：</t>
    <phoneticPr fontId="1" type="noConversion"/>
  </si>
  <si>
    <t>香港九龙观塘巧明街100号</t>
    <phoneticPr fontId="1" type="noConversion"/>
  </si>
  <si>
    <t>TWO LANDMARK EAST40楼4001-03室</t>
    <phoneticPr fontId="1" type="noConversion"/>
  </si>
  <si>
    <t>公司名称 ：</t>
    <phoneticPr fontId="1" type="noConversion"/>
  </si>
  <si>
    <t>电话：</t>
    <phoneticPr fontId="1" type="noConversion"/>
  </si>
  <si>
    <t>传真：</t>
    <phoneticPr fontId="1" type="noConversion"/>
  </si>
  <si>
    <t>银行账号：</t>
    <phoneticPr fontId="1" type="noConversion"/>
  </si>
  <si>
    <t xml:space="preserve">   交货日期：最终交货日期以境外原厂确定的日期为准（不包含合理的报关期、运输期）</t>
    <phoneticPr fontId="1" type="noConversion"/>
  </si>
  <si>
    <t>5) 质量标准：按境外原厂资料/产品手册/公示信息为准。</t>
    <phoneticPr fontId="1" type="noConversion"/>
  </si>
  <si>
    <t>6) 因产品进口国或出口国相关税收政策、贸易政策等造成价格波动等影响履行合同的情形。供方有权</t>
    <phoneticPr fontId="1" type="noConversion"/>
  </si>
  <si>
    <t xml:space="preserve">   根据前述影响范围对价格进行调整或选择是否继续履行本合同，但供方应在合理期限内通知需方。</t>
    <phoneticPr fontId="1" type="noConversion"/>
  </si>
  <si>
    <t>10)如本合同涉及履行事宜的对接方为需方子公司、关联公司或需方指定的其他第三方或代加工厂时，       需方应与前述相关方共同承担提货、付款等义务。如果合同履行中发生争议，双方应友好协商解决；协商不成的，由供方所在地人民法院管辖处理。</t>
    <phoneticPr fontId="1" type="noConversion"/>
  </si>
  <si>
    <t>业务员：Cosima Xu</t>
    <phoneticPr fontId="1" type="noConversion"/>
  </si>
  <si>
    <t>(USD)</t>
    <phoneticPr fontId="1" type="noConversion"/>
  </si>
  <si>
    <t>2) 专案名称：ATE</t>
    <phoneticPr fontId="1" type="noConversion"/>
  </si>
  <si>
    <t>徐海涛</t>
    <phoneticPr fontId="1" type="noConversion"/>
  </si>
  <si>
    <t>绍兴宏邦电子科技有限公司</t>
    <phoneticPr fontId="1" type="noConversion"/>
  </si>
  <si>
    <t>SHAOXING HONGBANG ELECTRONICS TECHNOLOGY CO.,LTD</t>
    <phoneticPr fontId="1" type="noConversion"/>
  </si>
  <si>
    <t>END CUSTOMER:SHAOXING HONGBANG ELECTRONICS TECHNOLOGY CO.,LTD</t>
    <phoneticPr fontId="1" type="noConversion"/>
  </si>
  <si>
    <t>绍兴宏邦电子科技有限公司</t>
    <phoneticPr fontId="1" type="noConversion"/>
  </si>
  <si>
    <t>浙江省绍兴市越城区嵊山路167号</t>
    <phoneticPr fontId="1" type="noConversion"/>
  </si>
  <si>
    <t>0575-88648809</t>
    <phoneticPr fontId="1" type="noConversion"/>
  </si>
  <si>
    <t>周则尧</t>
    <phoneticPr fontId="1" type="noConversion"/>
  </si>
  <si>
    <t xml:space="preserve">4) 结算方式及期限：COD; </t>
    <phoneticPr fontId="1" type="noConversion"/>
  </si>
  <si>
    <t>3) 交(提)货地点、方式:FOB HK AURORA SUPPLY CHAIN LIMITED</t>
    <phoneticPr fontId="1" type="noConversion"/>
  </si>
  <si>
    <t>AD4080BBCZ</t>
    <phoneticPr fontId="1" type="noConversion"/>
  </si>
  <si>
    <t>LTC2986ILX#PBF</t>
    <phoneticPr fontId="1" type="noConversion"/>
  </si>
  <si>
    <t>订单日期:17-Apr-2026</t>
    <phoneticPr fontId="1" type="noConversion"/>
  </si>
  <si>
    <t>订单编号: SXHBDZ-2026041701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</si>
</sst>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;\-\$#,##0.00"/>
  </numFmts>
  <fonts count="19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幼圆"/>
      <family val="3"/>
      <charset val="134"/>
    </font>
    <font>
      <b/>
      <sz val="12"/>
      <name val="幼圆"/>
      <family val="3"/>
      <charset val="134"/>
    </font>
    <font>
      <b/>
      <sz val="14"/>
      <name val="幼圆"/>
      <family val="3"/>
      <charset val="134"/>
    </font>
    <font>
      <sz val="11"/>
      <name val="幼圆"/>
      <family val="3"/>
      <charset val="134"/>
    </font>
    <font>
      <b/>
      <sz val="11"/>
      <name val="幼圆"/>
      <family val="3"/>
      <charset val="134"/>
    </font>
    <font>
      <sz val="11"/>
      <name val="Courier New"/>
      <family val="3"/>
    </font>
    <font>
      <sz val="8"/>
      <name val="Times New Roman"/>
      <family val="1"/>
    </font>
    <font>
      <sz val="11"/>
      <name val="宋体"/>
      <family val="3"/>
      <charset val="134"/>
    </font>
    <font>
      <b/>
      <sz val="11"/>
      <name val="Courier New"/>
      <family val="3"/>
    </font>
    <font>
      <sz val="12"/>
      <name val="Courier New"/>
      <family val="3"/>
    </font>
    <font>
      <b/>
      <sz val="12"/>
      <name val="Courier New"/>
      <family val="3"/>
    </font>
    <font>
      <sz val="9"/>
      <name val="新細明體"/>
      <family val="1"/>
      <charset val="136"/>
    </font>
    <font>
      <b/>
      <sz val="20"/>
      <name val="幼圆"/>
      <family val="3"/>
      <charset val="134"/>
    </font>
    <font>
      <sz val="12"/>
      <name val="宋体"/>
      <family val="3"/>
      <charset val="134"/>
    </font>
    <font>
      <sz val="9"/>
      <name val="細明體"/>
      <family val="3"/>
      <charset val="136"/>
    </font>
    <font>
      <b/>
      <sz val="11"/>
      <name val="宋体"/>
      <family val="3"/>
      <charset val="134"/>
    </font>
    <font>
      <sz val="10"/>
      <name val="幼圆"/>
      <family val="3"/>
      <charset val="13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6" fillId="0" borderId="3" xfId="0" applyFont="1" applyBorder="1"/>
    <xf numFmtId="0" fontId="10" fillId="0" borderId="0" xfId="0" applyFont="1"/>
    <xf numFmtId="0" fontId="2" fillId="0" borderId="0" xfId="0" applyFont="1" applyAlignment="1">
      <alignment vertical="center"/>
    </xf>
    <xf numFmtId="0" fontId="6" fillId="0" borderId="6" xfId="0" applyFont="1" applyBorder="1"/>
    <xf numFmtId="0" fontId="6" fillId="0" borderId="10" xfId="0" applyFont="1" applyBorder="1"/>
    <xf numFmtId="0" fontId="15" fillId="0" borderId="2" xfId="0" applyFont="1" applyBorder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0" fontId="18" fillId="0" borderId="22" xfId="0" applyFont="1" applyBorder="1"/>
    <xf numFmtId="0" fontId="18" fillId="0" borderId="13" xfId="0" applyFont="1" applyBorder="1"/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2" fillId="0" borderId="2" xfId="0" applyFont="1" applyBorder="1"/>
    <xf numFmtId="0" fontId="1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17" fillId="0" borderId="0" xfId="0" applyFont="1"/>
    <xf numFmtId="0" fontId="0" fillId="0" borderId="0" xfId="0"/>
    <xf numFmtId="0" fontId="10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right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11" fontId="5" fillId="0" borderId="2" xfId="0" applyNumberFormat="1" applyFont="1" applyBorder="1" applyAlignment="1">
      <alignment horizontal="center" vertical="top"/>
    </xf>
    <xf numFmtId="11" fontId="5" fillId="0" borderId="9" xfId="0" applyNumberFormat="1" applyFont="1" applyBorder="1" applyAlignment="1">
      <alignment horizontal="center" vertical="top"/>
    </xf>
    <xf numFmtId="49" fontId="11" fillId="0" borderId="7" xfId="0" applyNumberFormat="1" applyFont="1" applyBorder="1" applyAlignment="1">
      <alignment horizontal="left" vertical="center"/>
    </xf>
    <xf numFmtId="49" fontId="11" fillId="0" borderId="12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11" fontId="5" fillId="0" borderId="2" xfId="0" applyNumberFormat="1" applyFont="1" applyBorder="1" applyAlignment="1">
      <alignment horizontal="left" vertical="top"/>
    </xf>
    <xf numFmtId="11" fontId="5" fillId="0" borderId="9" xfId="0" applyNumberFormat="1" applyFont="1" applyBorder="1" applyAlignment="1">
      <alignment horizontal="left" vertical="top"/>
    </xf>
    <xf numFmtId="0" fontId="5" fillId="0" borderId="1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8" fillId="0" borderId="7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15" fillId="0" borderId="1" xfId="0" applyFont="1" applyBorder="1"/>
    <xf numFmtId="0" fontId="0" fillId="0" borderId="2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76200</xdr:rowOff>
    </xdr:from>
    <xdr:to>
      <xdr:col>6</xdr:col>
      <xdr:colOff>213345</xdr:colOff>
      <xdr:row>2</xdr:row>
      <xdr:rowOff>206457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FD74B4F-CB6E-8083-19C3-68FC5DAC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76200"/>
          <a:ext cx="4439270" cy="590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41"/>
  <sheetViews>
    <sheetView tabSelected="1" workbookViewId="0">
      <selection activeCell="K4" sqref="K4"/>
    </sheetView>
  </sheetViews>
  <sheetFormatPr defaultColWidth="8.625" defaultRowHeight="15" x14ac:dyDescent="0.35"/>
  <cols>
    <col min="1" max="1" width="6.125" style="1" customWidth="1"/>
    <col min="2" max="2" width="9.125" style="1" customWidth="1"/>
    <col min="3" max="3" width="12.875" style="1" customWidth="1"/>
    <col min="4" max="4" width="8.625" style="1" customWidth="1"/>
    <col min="5" max="5" width="8.125" style="1" customWidth="1"/>
    <col min="6" max="6" width="10.625" style="1" customWidth="1"/>
    <col min="7" max="7" width="15.375" style="1" customWidth="1"/>
    <col min="8" max="8" width="18.25" style="1" customWidth="1"/>
    <col min="9" max="16384" width="8.625" style="1"/>
  </cols>
  <sheetData>
    <row r="2" spans="1:8" ht="23.25" customHeight="1" x14ac:dyDescent="0.35"/>
    <row r="3" spans="1:8" ht="58.5" customHeight="1" x14ac:dyDescent="0.5">
      <c r="A3" s="32" t="s">
        <v>18</v>
      </c>
      <c r="B3" s="32"/>
      <c r="C3" s="32"/>
      <c r="D3" s="32"/>
      <c r="E3" s="32"/>
      <c r="F3" s="32"/>
      <c r="G3" s="32"/>
      <c r="H3" s="32"/>
    </row>
    <row r="4" spans="1:8" ht="18" customHeight="1" x14ac:dyDescent="0.4">
      <c r="A4" s="3" t="s">
        <v>3</v>
      </c>
      <c r="B4" s="8" t="s">
        <v>21</v>
      </c>
      <c r="C4" s="8"/>
      <c r="D4" s="3"/>
      <c r="E4" s="3"/>
      <c r="F4" s="3"/>
      <c r="G4" s="40" t="s">
        <v>59</v>
      </c>
      <c r="H4" s="35"/>
    </row>
    <row r="5" spans="1:8" ht="18" customHeight="1" x14ac:dyDescent="0.5">
      <c r="A5" s="3"/>
      <c r="B5" s="12" t="s">
        <v>10</v>
      </c>
      <c r="C5" s="3"/>
      <c r="D5" s="3"/>
      <c r="E5" s="3"/>
      <c r="F5" s="3"/>
      <c r="G5" s="39" t="s">
        <v>60</v>
      </c>
      <c r="H5" s="35"/>
    </row>
    <row r="6" spans="1:8" ht="18" customHeight="1" x14ac:dyDescent="0.4">
      <c r="A6" s="3" t="s">
        <v>4</v>
      </c>
      <c r="B6" s="34" t="s">
        <v>48</v>
      </c>
      <c r="C6" s="35"/>
      <c r="D6" s="35"/>
      <c r="E6" s="35"/>
      <c r="F6" s="35"/>
      <c r="G6" s="40" t="s">
        <v>44</v>
      </c>
      <c r="H6" s="35"/>
    </row>
    <row r="7" spans="1:8" ht="18" customHeight="1" x14ac:dyDescent="0.45">
      <c r="A7" s="8"/>
      <c r="B7" s="39" t="s">
        <v>49</v>
      </c>
      <c r="C7" s="35"/>
      <c r="D7" s="35"/>
      <c r="E7" s="35"/>
      <c r="F7" s="35"/>
      <c r="G7" s="8"/>
      <c r="H7" s="9"/>
    </row>
    <row r="8" spans="1:8" ht="21.75" customHeight="1" x14ac:dyDescent="0.5">
      <c r="A8" s="36" t="s">
        <v>50</v>
      </c>
      <c r="B8" s="35"/>
      <c r="C8" s="35"/>
      <c r="D8" s="35"/>
      <c r="E8" s="35"/>
      <c r="F8" s="35"/>
      <c r="G8" s="35"/>
      <c r="H8" s="9"/>
    </row>
    <row r="9" spans="1:8" s="3" customFormat="1" ht="17.25" customHeight="1" x14ac:dyDescent="0.4">
      <c r="A9" s="37" t="s">
        <v>15</v>
      </c>
      <c r="B9" s="37"/>
      <c r="C9" s="37"/>
      <c r="D9" s="38"/>
      <c r="E9" s="38"/>
      <c r="F9" s="38"/>
      <c r="G9" s="38"/>
      <c r="H9" s="38"/>
    </row>
    <row r="10" spans="1:8" ht="19.350000000000001" customHeight="1" x14ac:dyDescent="0.55000000000000004">
      <c r="A10" s="24"/>
      <c r="B10" s="33" t="s">
        <v>22</v>
      </c>
      <c r="C10" s="33"/>
      <c r="D10" s="25" t="s">
        <v>2</v>
      </c>
      <c r="E10" s="26" t="s">
        <v>23</v>
      </c>
      <c r="F10" s="26" t="s">
        <v>24</v>
      </c>
      <c r="G10" s="26" t="s">
        <v>25</v>
      </c>
      <c r="H10" s="26" t="s">
        <v>14</v>
      </c>
    </row>
    <row r="11" spans="1:8" ht="18" customHeight="1" x14ac:dyDescent="0.55000000000000004">
      <c r="A11" s="23"/>
      <c r="B11" s="33"/>
      <c r="C11" s="33"/>
      <c r="D11" s="19"/>
      <c r="E11" s="19" t="s">
        <v>0</v>
      </c>
      <c r="F11" s="19" t="s">
        <v>45</v>
      </c>
      <c r="G11" s="19" t="s">
        <v>45</v>
      </c>
      <c r="H11" s="27"/>
    </row>
    <row r="12" spans="1:8" ht="18" customHeight="1" x14ac:dyDescent="0.55000000000000004">
      <c r="A12" s="23">
        <v>1</v>
      </c>
      <c r="B12" s="30" t="s">
        <v>57</v>
      </c>
      <c r="C12" s="31"/>
      <c r="D12" s="19"/>
      <c r="E12" s="19">
        <v>10</v>
      </c>
      <c r="F12" s="19">
        <v>58.33</v>
      </c>
      <c r="G12" s="19">
        <f>E12*F12</f>
        <v>583.29999999999995</v>
      </c>
      <c r="H12" s="27">
        <v>46152</v>
      </c>
    </row>
    <row r="13" spans="1:8" ht="18" customHeight="1" x14ac:dyDescent="0.55000000000000004">
      <c r="A13" s="23">
        <v>2</v>
      </c>
      <c r="B13" s="30" t="s">
        <v>58</v>
      </c>
      <c r="C13" s="31"/>
      <c r="D13" s="19"/>
      <c r="E13" s="19">
        <v>250</v>
      </c>
      <c r="F13" s="19">
        <v>21.85</v>
      </c>
      <c r="G13" s="19">
        <f t="shared" ref="G13" si="0">E13*F13</f>
        <v>5462.5</v>
      </c>
      <c r="H13" s="27">
        <v>46152</v>
      </c>
    </row>
    <row r="14" spans="1:8" s="13" customFormat="1" ht="18" customHeight="1" x14ac:dyDescent="0.4">
      <c r="A14" s="63" t="s">
        <v>20</v>
      </c>
      <c r="B14" s="63"/>
      <c r="C14" s="63"/>
      <c r="D14" s="63"/>
      <c r="E14" s="22">
        <f>SUM(E12:E13)</f>
        <v>260</v>
      </c>
      <c r="F14" s="28"/>
      <c r="G14" s="29">
        <f>SUM(G12:G13)</f>
        <v>6045.8</v>
      </c>
      <c r="H14" s="28"/>
    </row>
    <row r="15" spans="1:8" ht="17.25" customHeight="1" x14ac:dyDescent="0.35"/>
    <row r="16" spans="1:8" s="3" customFormat="1" ht="18" customHeight="1" x14ac:dyDescent="0.3">
      <c r="A16" s="64" t="s">
        <v>46</v>
      </c>
      <c r="B16" s="64"/>
      <c r="C16" s="64"/>
      <c r="D16" s="18"/>
      <c r="E16" s="18"/>
      <c r="F16" s="18"/>
      <c r="G16" s="18"/>
    </row>
    <row r="17" spans="1:9" s="3" customFormat="1" ht="18" customHeight="1" x14ac:dyDescent="0.3">
      <c r="A17" s="64" t="s">
        <v>56</v>
      </c>
      <c r="B17" s="64"/>
      <c r="C17" s="64"/>
      <c r="D17" s="66"/>
      <c r="E17" s="66"/>
      <c r="F17" s="66"/>
      <c r="G17" s="66"/>
    </row>
    <row r="18" spans="1:9" s="3" customFormat="1" ht="18" customHeight="1" x14ac:dyDescent="0.4">
      <c r="A18" s="64" t="s">
        <v>39</v>
      </c>
      <c r="B18" s="35"/>
      <c r="C18" s="35"/>
      <c r="D18" s="35"/>
      <c r="E18" s="35"/>
      <c r="F18" s="35"/>
      <c r="G18" s="35"/>
      <c r="H18" s="35"/>
      <c r="I18" s="35"/>
    </row>
    <row r="19" spans="1:9" s="3" customFormat="1" ht="18" customHeight="1" x14ac:dyDescent="0.3">
      <c r="A19" s="64" t="s">
        <v>55</v>
      </c>
      <c r="B19" s="64"/>
      <c r="C19" s="64"/>
      <c r="D19" s="66"/>
      <c r="E19" s="18"/>
      <c r="F19" s="18"/>
      <c r="G19" s="18"/>
    </row>
    <row r="20" spans="1:9" s="3" customFormat="1" ht="18" customHeight="1" x14ac:dyDescent="0.4">
      <c r="A20" s="64" t="s">
        <v>40</v>
      </c>
      <c r="B20" s="64"/>
      <c r="C20" s="64"/>
      <c r="D20" s="38"/>
      <c r="E20" s="38"/>
      <c r="F20" s="35"/>
      <c r="G20" s="18"/>
    </row>
    <row r="21" spans="1:9" s="3" customFormat="1" ht="18" customHeight="1" x14ac:dyDescent="0.3">
      <c r="A21" s="17" t="s">
        <v>41</v>
      </c>
      <c r="B21" s="17"/>
      <c r="C21" s="17"/>
      <c r="D21" s="17"/>
      <c r="E21" s="17"/>
      <c r="F21" s="17"/>
      <c r="G21" s="17"/>
    </row>
    <row r="22" spans="1:9" s="3" customFormat="1" ht="18" customHeight="1" x14ac:dyDescent="0.4">
      <c r="A22" s="64" t="s">
        <v>42</v>
      </c>
      <c r="B22" s="35"/>
      <c r="C22" s="35"/>
      <c r="D22" s="35"/>
      <c r="E22" s="35"/>
      <c r="F22" s="35"/>
      <c r="G22" s="35"/>
      <c r="H22" s="35"/>
    </row>
    <row r="23" spans="1:9" s="3" customFormat="1" ht="18" customHeight="1" x14ac:dyDescent="0.3">
      <c r="A23" s="64" t="s">
        <v>16</v>
      </c>
      <c r="B23" s="64"/>
      <c r="C23" s="64"/>
      <c r="D23" s="64"/>
      <c r="E23" s="64"/>
      <c r="F23" s="64"/>
      <c r="G23" s="64"/>
    </row>
    <row r="24" spans="1:9" s="3" customFormat="1" ht="18" customHeight="1" x14ac:dyDescent="0.3">
      <c r="A24" s="64" t="s">
        <v>12</v>
      </c>
      <c r="B24" s="64"/>
      <c r="C24" s="64"/>
      <c r="D24" s="64"/>
      <c r="E24" s="64"/>
      <c r="F24" s="64"/>
      <c r="G24" s="64"/>
    </row>
    <row r="25" spans="1:9" s="3" customFormat="1" ht="18" customHeight="1" x14ac:dyDescent="0.3">
      <c r="A25" s="64" t="s">
        <v>17</v>
      </c>
      <c r="B25" s="64"/>
      <c r="C25" s="64"/>
      <c r="D25" s="64"/>
      <c r="E25" s="64"/>
      <c r="F25" s="64"/>
      <c r="G25" s="64"/>
    </row>
    <row r="26" spans="1:9" s="3" customFormat="1" ht="42.75" customHeight="1" x14ac:dyDescent="0.3">
      <c r="A26" s="65" t="s">
        <v>43</v>
      </c>
      <c r="B26" s="64"/>
      <c r="C26" s="64"/>
      <c r="D26" s="64"/>
      <c r="E26" s="64"/>
      <c r="F26" s="64"/>
      <c r="G26" s="64"/>
      <c r="H26" s="64"/>
    </row>
    <row r="27" spans="1:9" s="3" customFormat="1" ht="30" customHeight="1" thickBot="1" x14ac:dyDescent="0.35">
      <c r="A27" s="62" t="s">
        <v>19</v>
      </c>
      <c r="B27" s="62"/>
      <c r="C27" s="62"/>
      <c r="D27" s="62"/>
      <c r="E27" s="62"/>
      <c r="F27" s="62"/>
      <c r="G27" s="62"/>
      <c r="H27" s="62"/>
    </row>
    <row r="28" spans="1:9" s="2" customFormat="1" ht="23.45" customHeight="1" x14ac:dyDescent="0.35">
      <c r="A28" s="67" t="s">
        <v>1</v>
      </c>
      <c r="B28" s="68"/>
      <c r="C28" s="68"/>
      <c r="D28" s="68"/>
      <c r="E28" s="69"/>
      <c r="F28" s="70" t="s">
        <v>5</v>
      </c>
      <c r="G28" s="71"/>
      <c r="H28" s="72"/>
    </row>
    <row r="29" spans="1:9" x14ac:dyDescent="0.35">
      <c r="A29" s="4" t="s">
        <v>26</v>
      </c>
      <c r="B29" s="5"/>
      <c r="C29" s="49" t="s">
        <v>21</v>
      </c>
      <c r="D29" s="49"/>
      <c r="E29" s="50"/>
      <c r="F29" s="14" t="s">
        <v>35</v>
      </c>
      <c r="G29" s="73" t="s">
        <v>51</v>
      </c>
      <c r="H29" s="74"/>
    </row>
    <row r="30" spans="1:9" x14ac:dyDescent="0.35">
      <c r="A30" s="4" t="s">
        <v>9</v>
      </c>
      <c r="B30" s="5"/>
      <c r="C30" s="49" t="s">
        <v>33</v>
      </c>
      <c r="D30" s="49"/>
      <c r="E30" s="50"/>
      <c r="F30" s="14" t="s">
        <v>9</v>
      </c>
      <c r="G30" s="20" t="s">
        <v>52</v>
      </c>
      <c r="H30" s="21"/>
    </row>
    <row r="31" spans="1:9" ht="15.75" x14ac:dyDescent="0.4">
      <c r="A31" s="42"/>
      <c r="B31" s="33"/>
      <c r="C31" s="49" t="s">
        <v>34</v>
      </c>
      <c r="D31" s="49"/>
      <c r="E31" s="50"/>
      <c r="F31" s="14"/>
      <c r="G31" s="75"/>
      <c r="H31" s="76"/>
    </row>
    <row r="32" spans="1:9" ht="18" customHeight="1" x14ac:dyDescent="0.45">
      <c r="A32" s="43" t="s">
        <v>27</v>
      </c>
      <c r="B32" s="44"/>
      <c r="C32" s="45" t="s">
        <v>6</v>
      </c>
      <c r="D32" s="45"/>
      <c r="E32" s="46"/>
      <c r="F32" s="14" t="s">
        <v>36</v>
      </c>
      <c r="G32" s="47" t="s">
        <v>53</v>
      </c>
      <c r="H32" s="48"/>
    </row>
    <row r="33" spans="1:8" ht="18" customHeight="1" x14ac:dyDescent="0.45">
      <c r="A33" s="43" t="s">
        <v>28</v>
      </c>
      <c r="B33" s="44"/>
      <c r="C33" s="45" t="s">
        <v>7</v>
      </c>
      <c r="D33" s="45"/>
      <c r="E33" s="46"/>
      <c r="F33" s="14" t="s">
        <v>37</v>
      </c>
      <c r="G33" s="47"/>
      <c r="H33" s="48"/>
    </row>
    <row r="34" spans="1:8" ht="29.25" customHeight="1" x14ac:dyDescent="0.45">
      <c r="A34" s="4" t="s">
        <v>29</v>
      </c>
      <c r="B34" s="5"/>
      <c r="C34" s="53" t="s">
        <v>11</v>
      </c>
      <c r="D34" s="53"/>
      <c r="E34" s="54"/>
      <c r="F34" s="14" t="s">
        <v>29</v>
      </c>
      <c r="G34" s="60"/>
      <c r="H34" s="61"/>
    </row>
    <row r="35" spans="1:8" ht="18" customHeight="1" x14ac:dyDescent="0.4">
      <c r="A35" s="11" t="s">
        <v>30</v>
      </c>
      <c r="B35" s="16"/>
      <c r="C35" s="57" t="s">
        <v>13</v>
      </c>
      <c r="D35" s="58"/>
      <c r="E35" s="59"/>
      <c r="F35" s="14" t="s">
        <v>38</v>
      </c>
      <c r="G35" s="55"/>
      <c r="H35" s="56"/>
    </row>
    <row r="36" spans="1:8" ht="18" customHeight="1" x14ac:dyDescent="0.4">
      <c r="A36" s="11" t="s">
        <v>31</v>
      </c>
      <c r="B36" s="16"/>
      <c r="C36" s="57" t="s">
        <v>8</v>
      </c>
      <c r="D36" s="58"/>
      <c r="E36" s="59"/>
      <c r="F36" s="14"/>
      <c r="G36" s="49"/>
      <c r="H36" s="50"/>
    </row>
    <row r="37" spans="1:8" ht="18" customHeight="1" thickBot="1" x14ac:dyDescent="0.4">
      <c r="A37" s="6" t="s">
        <v>32</v>
      </c>
      <c r="B37" s="7"/>
      <c r="C37" s="51" t="s">
        <v>47</v>
      </c>
      <c r="D37" s="51"/>
      <c r="E37" s="52"/>
      <c r="F37" s="15" t="s">
        <v>32</v>
      </c>
      <c r="G37" s="51" t="s">
        <v>54</v>
      </c>
      <c r="H37" s="52"/>
    </row>
    <row r="38" spans="1:8" ht="18" customHeight="1" x14ac:dyDescent="0.35">
      <c r="A38" s="41"/>
      <c r="B38" s="41"/>
      <c r="C38" s="41"/>
      <c r="D38" s="41"/>
      <c r="E38" s="41"/>
      <c r="F38" s="41"/>
      <c r="G38" s="41"/>
      <c r="H38" s="41"/>
    </row>
    <row r="39" spans="1:8" ht="14.25" customHeight="1" x14ac:dyDescent="0.35">
      <c r="A39" s="41"/>
      <c r="B39" s="41"/>
      <c r="C39" s="41"/>
      <c r="D39" s="41"/>
      <c r="E39" s="41"/>
      <c r="F39" s="41"/>
      <c r="G39" s="41"/>
      <c r="H39" s="41"/>
    </row>
    <row r="40" spans="1:8" ht="14.25" customHeight="1" x14ac:dyDescent="0.35">
      <c r="A40" s="41"/>
      <c r="B40" s="41"/>
      <c r="C40" s="41"/>
      <c r="D40" s="41"/>
      <c r="E40" s="41"/>
      <c r="F40" s="41"/>
      <c r="G40" s="41"/>
      <c r="H40" s="41"/>
    </row>
    <row r="41" spans="1:8" x14ac:dyDescent="0.35">
      <c r="H41" s="10"/>
    </row>
  </sheetData>
  <mergeCells count="49">
    <mergeCell ref="C33:E33"/>
    <mergeCell ref="G33:H33"/>
    <mergeCell ref="C29:E29"/>
    <mergeCell ref="A33:B33"/>
    <mergeCell ref="A28:E28"/>
    <mergeCell ref="F28:H28"/>
    <mergeCell ref="G29:H29"/>
    <mergeCell ref="G31:H31"/>
    <mergeCell ref="C30:E30"/>
    <mergeCell ref="A27:H27"/>
    <mergeCell ref="A14:D14"/>
    <mergeCell ref="A24:G24"/>
    <mergeCell ref="A16:C16"/>
    <mergeCell ref="A26:H26"/>
    <mergeCell ref="A23:G23"/>
    <mergeCell ref="A25:G25"/>
    <mergeCell ref="A19:D19"/>
    <mergeCell ref="A20:F20"/>
    <mergeCell ref="A22:H22"/>
    <mergeCell ref="A18:I18"/>
    <mergeCell ref="A17:G17"/>
    <mergeCell ref="A40:H40"/>
    <mergeCell ref="A38:H38"/>
    <mergeCell ref="A39:H39"/>
    <mergeCell ref="A31:B31"/>
    <mergeCell ref="A32:B32"/>
    <mergeCell ref="C32:E32"/>
    <mergeCell ref="G32:H32"/>
    <mergeCell ref="C31:E31"/>
    <mergeCell ref="C37:E37"/>
    <mergeCell ref="G37:H37"/>
    <mergeCell ref="C34:E34"/>
    <mergeCell ref="G35:H35"/>
    <mergeCell ref="C36:E36"/>
    <mergeCell ref="C35:E35"/>
    <mergeCell ref="G34:H34"/>
    <mergeCell ref="G36:H36"/>
    <mergeCell ref="B13:C13"/>
    <mergeCell ref="A3:H3"/>
    <mergeCell ref="B10:C10"/>
    <mergeCell ref="B11:C11"/>
    <mergeCell ref="B6:F6"/>
    <mergeCell ref="A8:G8"/>
    <mergeCell ref="A9:H9"/>
    <mergeCell ref="B7:F7"/>
    <mergeCell ref="G4:H4"/>
    <mergeCell ref="G5:H5"/>
    <mergeCell ref="G6:H6"/>
    <mergeCell ref="B12:C12"/>
  </mergeCells>
  <phoneticPr fontId="1" type="noConversion"/>
  <printOptions horizontalCentered="1"/>
  <pageMargins left="0.23622047244094491" right="0.23622047244094491" top="0.23622047244094491" bottom="0.23622047244094491" header="0.15748031496062992" footer="0.15748031496062992"/>
  <pageSetup scale="93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USD合同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Danae Huang</dc:creator>
  <cp:lastModifiedBy>18721654754@163.com</cp:lastModifiedBy>
  <cp:lastPrinted>2025-09-16T05:49:54Z</cp:lastPrinted>
  <dcterms:created xsi:type="dcterms:W3CDTF">2004-01-13T11:06:49Z</dcterms:created>
  <dcterms:modified xsi:type="dcterms:W3CDTF">2026-04-17T07:27:36Z</dcterms:modified>
</cp:coreProperties>
</file>