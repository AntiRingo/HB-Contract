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4175"/>
  </bookViews>
  <sheets>
    <sheet name="USD合同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<sst xmlns="http://schemas.openxmlformats.org/spreadsheetml/2006/main" count="63" uniqueCount="58">
  <si>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销 售 合 同</t>
  </si>
  <si>
    <t>供方:</t>
  </si>
  <si>
    <t>骏龙科技有限公司</t>
  </si>
  <si>
    <t>订单日期:17-Apr-2026</t>
  </si>
  <si>
    <t>MACNICA CYTECH LIMITED.</t>
  </si>
  <si>
    <t>订单编号: SXHBDZ-2026041701</t>
  </si>
  <si>
    <t>需方:</t>
  </si>
  <si>
    <t>绍兴宏邦电子科技有限公司</t>
  </si>
  <si>
    <t>业务员：Cosima Xu</t>
  </si>
  <si>
    <t>SHAOXING HONGBANG ELECTRONICS TECHNOLOGY CO.,LTD</t>
  </si>
  <si>
    <t>END CUSTOMER:SHAOXING HONGBANG ELECTRONICS TECHNOLOGY CO.,LTD</t>
  </si>
  <si>
    <t>1) 产品名称、型号、数量、金额：</t>
  </si>
  <si>
    <t>品名规格</t>
  </si>
  <si>
    <t xml:space="preserve">SQ#: </t>
  </si>
  <si>
    <t>数量</t>
  </si>
  <si>
    <t>单价</t>
  </si>
  <si>
    <t>合计</t>
  </si>
  <si>
    <t>预计交货期</t>
  </si>
  <si>
    <t>AD4080BBCZ</t>
  </si>
  <si>
    <t>LTC2986ILX#PBF</t>
  </si>
  <si>
    <t>总金额</t>
  </si>
  <si>
    <t>2) 专案名称：ATE</t>
  </si>
  <si>
    <t>3) 交(提)货地点、方式:FOB HK AURORA SUPPLY CHAIN LIMITED</t>
  </si>
  <si>
    <t xml:space="preserve">   交货日期：最终交货日期以境外原厂确定的日期为准（不包含合理的报关期、运输期）</t>
  </si>
  <si>
    <t xml:space="preserve">4) 结算方式及期限：COD; </t>
  </si>
  <si>
    <t>5) 质量标准：按境外原厂资料/产品手册/公示信息为准。</t>
  </si>
  <si>
    <t>6) 因产品进口国或出口国相关税收政策、贸易政策等造成价格波动等影响履行合同的情形。供方有权</t>
  </si>
  <si>
    <t xml:space="preserve">   根据前述影响范围对价格进行调整或选择是否继续履行本合同，但供方应在合理期限内通知需方。</t>
  </si>
  <si>
    <t>7) 本合同自双方盖章之日起生效。合同传真件、复印件或扫描件视同合同原件。</t>
  </si>
  <si>
    <t>8) 所有付汇所产生的银行费用均由买方承担。</t>
  </si>
  <si>
    <t>9) 需方可在境外原厂给予的限期前更改要求交货日期，但属于不可取消不可退货（即NCNR）的产品除外。</t>
  </si>
  <si>
    <t>10)如本合同涉及履行事宜的对接方为需方子公司、关联公司或需方指定的其他第三方或代加工厂时，       需方应与前述相关方共同承担提货、付款等义务。如果合同履行中发生争议，双方应友好协商解决；协商不成的，由供方所在地人民法院管辖处理。</t>
  </si>
  <si>
    <t>11) 合同金额为五万港币以上（包含五万）本公司只接受本票和银行转账汇款。</t>
  </si>
  <si>
    <t>供   方</t>
  </si>
  <si>
    <t>需   方</t>
  </si>
  <si>
    <t>公司名称：</t>
  </si>
  <si>
    <t>公司名称 ：</t>
  </si>
  <si>
    <t>公司地址 ：</t>
  </si>
  <si>
    <t>香港九龙观塘巧明街100号</t>
  </si>
  <si>
    <t>浙江省绍兴市越城区嵊山路167号</t>
  </si>
  <si>
    <t>TWO LANDMARK EAST40楼4001-03室</t>
  </si>
  <si>
    <t>电话   ：</t>
  </si>
  <si>
    <t>852-2375 8866</t>
  </si>
  <si>
    <t>电话：</t>
  </si>
  <si>
    <t>0575-88648809</t>
  </si>
  <si>
    <t>传真   ：</t>
  </si>
  <si>
    <t>852-2375 7700</t>
  </si>
  <si>
    <t>传真：</t>
  </si>
  <si>
    <t>开户银行：</t>
  </si>
  <si>
    <t>HANG SENG BANK LTD.
(TSIMSHATSUI BRANCH)</t>
  </si>
  <si>
    <t>美元账号 (USD)</t>
  </si>
  <si>
    <t>266-112879-203</t>
  </si>
  <si>
    <t>银行账号：</t>
  </si>
  <si>
    <t>港元账号 (HKD)</t>
  </si>
  <si>
    <t>266-112879-001</t>
  </si>
  <si>
    <t>委托代理人：</t>
  </si>
  <si>
    <t>徐海涛</t>
  </si>
  <si>
    <t>周则尧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</si>
</sst>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36">
    <font>
      <sz val="12"/>
      <name val="宋体"/>
      <charset val="134"/>
    </font>
    <font>
      <sz val="11"/>
      <name val="幼圆"/>
      <charset val="134"/>
    </font>
    <font>
      <sz val="12"/>
      <name val="幼圆"/>
      <charset val="134"/>
    </font>
    <font>
      <b/>
      <sz val="12"/>
      <name val="幼圆"/>
      <charset val="134"/>
    </font>
    <font>
      <b/>
      <sz val="20"/>
      <name val="幼圆"/>
      <charset val="134"/>
    </font>
    <font>
      <b/>
      <sz val="11"/>
      <name val="幼圆"/>
      <charset val="134"/>
    </font>
    <font>
      <b/>
      <sz val="11"/>
      <name val="Courier New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name val="Courier New"/>
      <charset val="134"/>
    </font>
    <font>
      <b/>
      <sz val="12"/>
      <name val="Courier New"/>
      <charset val="134"/>
    </font>
    <font>
      <b/>
      <sz val="14"/>
      <name val="幼圆"/>
      <charset val="134"/>
    </font>
    <font>
      <sz val="10"/>
      <name val="幼圆"/>
      <charset val="134"/>
    </font>
    <font>
      <sz val="12"/>
      <name val="宋体"/>
      <charset val="134"/>
    </font>
    <font>
      <sz val="12"/>
      <name val="Courier New"/>
      <charset val="134"/>
    </font>
    <font>
      <sz val="8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" borderId="2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26" applyNumberFormat="0" applyAlignment="0" applyProtection="0">
      <alignment vertical="center"/>
    </xf>
    <xf numFmtId="0" fontId="26" fillId="4" borderId="27" applyNumberFormat="0" applyAlignment="0" applyProtection="0">
      <alignment vertical="center"/>
    </xf>
    <xf numFmtId="0" fontId="27" fillId="4" borderId="26" applyNumberFormat="0" applyAlignment="0" applyProtection="0">
      <alignment vertical="center"/>
    </xf>
    <xf numFmtId="0" fontId="28" fillId="5" borderId="28" applyNumberFormat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5" fillId="0" borderId="3" xfId="0" applyFont="1" applyBorder="1"/>
    <xf numFmtId="0" fontId="12" fillId="0" borderId="2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4" xfId="0" applyFont="1" applyBorder="1"/>
    <xf numFmtId="0" fontId="12" fillId="0" borderId="15" xfId="0" applyFont="1" applyBorder="1"/>
    <xf numFmtId="0" fontId="5" fillId="0" borderId="11" xfId="0" applyFont="1" applyBorder="1" applyAlignment="1">
      <alignment horizontal="center"/>
    </xf>
    <xf numFmtId="0" fontId="13" fillId="0" borderId="16" xfId="0" applyFont="1" applyBorder="1"/>
    <xf numFmtId="0" fontId="0" fillId="0" borderId="17" xfId="0" applyBorder="1"/>
    <xf numFmtId="0" fontId="9" fillId="0" borderId="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11" fontId="1" fillId="0" borderId="1" xfId="0" applyNumberFormat="1" applyFont="1" applyBorder="1" applyAlignment="1">
      <alignment horizontal="left" vertical="top"/>
    </xf>
    <xf numFmtId="11" fontId="1" fillId="0" borderId="12" xfId="0" applyNumberFormat="1" applyFont="1" applyBorder="1" applyAlignment="1">
      <alignment horizontal="left" vertical="top"/>
    </xf>
    <xf numFmtId="0" fontId="5" fillId="0" borderId="11" xfId="0" applyFont="1" applyBorder="1"/>
    <xf numFmtId="0" fontId="13" fillId="0" borderId="1" xfId="0" applyFont="1" applyBorder="1"/>
    <xf numFmtId="49" fontId="14" fillId="0" borderId="2" xfId="0" applyNumberFormat="1" applyFont="1" applyBorder="1" applyAlignment="1">
      <alignment horizontal="left" vertical="center"/>
    </xf>
    <xf numFmtId="49" fontId="14" fillId="0" borderId="18" xfId="0" applyNumberFormat="1" applyFont="1" applyBorder="1" applyAlignment="1">
      <alignment horizontal="left" vertical="center"/>
    </xf>
    <xf numFmtId="49" fontId="14" fillId="0" borderId="13" xfId="0" applyNumberFormat="1" applyFont="1" applyBorder="1" applyAlignment="1">
      <alignment horizontal="left" vertical="center"/>
    </xf>
    <xf numFmtId="11" fontId="1" fillId="0" borderId="1" xfId="0" applyNumberFormat="1" applyFont="1" applyBorder="1" applyAlignment="1">
      <alignment horizontal="center" vertical="top"/>
    </xf>
    <xf numFmtId="11" fontId="1" fillId="0" borderId="12" xfId="0" applyNumberFormat="1" applyFont="1" applyBorder="1" applyAlignment="1">
      <alignment horizontal="center" vertical="top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5" fillId="0" borderId="22" xfId="0" applyFont="1" applyBorder="1"/>
    <xf numFmtId="0" fontId="15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0</xdr:row>
      <xdr:rowOff>76200</xdr:rowOff>
    </xdr:from>
    <xdr:to>
      <xdr:col>6</xdr:col>
      <xdr:colOff>213345</xdr:colOff>
      <xdr:row>2</xdr:row>
      <xdr:rowOff>206457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76200"/>
          <a:ext cx="4429125" cy="60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2:I40"/>
  <sheetViews>
    <sheetView tabSelected="1" workbookViewId="0">
      <selection activeCell="L13" sqref="L13"/>
    </sheetView>
  </sheetViews>
  <sheetFormatPr defaultColWidth="8.625" defaultRowHeight="14.25"/>
  <cols>
    <col min="1" max="1" width="6.125" style="4" customWidth="1"/>
    <col min="2" max="2" width="9.125" style="4" customWidth="1"/>
    <col min="3" max="3" width="12.875" style="4" customWidth="1"/>
    <col min="4" max="4" width="8.625" style="4" customWidth="1"/>
    <col min="5" max="5" width="8.125" style="4" customWidth="1"/>
    <col min="6" max="6" width="10.625" style="4" customWidth="1"/>
    <col min="7" max="7" width="15.375" style="4" customWidth="1"/>
    <col min="8" max="8" width="18.25" style="4" customWidth="1"/>
    <col min="9" max="16384" width="8.625" style="4"/>
  </cols>
  <sheetData>
    <row r="2" ht="23.25" customHeight="1"/>
    <row r="3" ht="58.5" customHeight="1" spans="1:8">
      <c r="A3" s="5" t="s">
        <v>0</v>
      </c>
      <c r="B3" s="5"/>
      <c r="C3" s="5"/>
      <c r="D3" s="5"/>
      <c r="E3" s="5"/>
      <c r="F3" s="5"/>
      <c r="G3" s="5"/>
      <c r="H3" s="5"/>
    </row>
    <row r="4" ht="18" customHeight="1" spans="1:8">
      <c r="A4" s="1" t="s">
        <v>1</v>
      </c>
      <c r="B4" s="6" t="s">
        <v>2</v>
      </c>
      <c r="C4" s="6"/>
      <c r="D4" s="1"/>
      <c r="E4" s="1"/>
      <c r="F4" s="1"/>
      <c r="G4" s="1" t="s">
        <v>3</v>
      </c>
      <c r="H4"/>
    </row>
    <row r="5" ht="18" customHeight="1" spans="1:8">
      <c r="A5" s="1"/>
      <c r="B5" s="7" t="s">
        <v>4</v>
      </c>
      <c r="C5" s="1"/>
      <c r="D5" s="1"/>
      <c r="E5" s="1"/>
      <c r="F5" s="1"/>
      <c r="G5" s="8" t="s">
        <v>5</v>
      </c>
      <c r="H5"/>
    </row>
    <row r="6" ht="18" customHeight="1" spans="1:8">
      <c r="A6" s="1" t="s">
        <v>6</v>
      </c>
      <c r="B6" s="9" t="s">
        <v>7</v>
      </c>
      <c r="C6"/>
      <c r="D6"/>
      <c r="E6"/>
      <c r="F6"/>
      <c r="G6" s="1" t="s">
        <v>8</v>
      </c>
      <c r="H6"/>
    </row>
    <row r="7" ht="18" customHeight="1" spans="1:8">
      <c r="A7" s="6"/>
      <c r="B7" s="8" t="s">
        <v>9</v>
      </c>
      <c r="C7"/>
      <c r="D7"/>
      <c r="E7"/>
      <c r="F7"/>
      <c r="G7" s="6"/>
      <c r="H7" s="10"/>
    </row>
    <row r="8" ht="21.75" customHeight="1" spans="1:8">
      <c r="A8" s="7" t="s">
        <v>10</v>
      </c>
      <c r="B8"/>
      <c r="C8"/>
      <c r="D8"/>
      <c r="E8"/>
      <c r="F8"/>
      <c r="G8"/>
      <c r="H8" s="10"/>
    </row>
    <row r="9" s="1" customFormat="1" ht="17.25" customHeight="1" spans="1:8">
      <c r="A9" s="11" t="s">
        <v>11</v>
      </c>
      <c r="B9" s="11"/>
      <c r="C9" s="11"/>
      <c r="D9" s="12"/>
      <c r="E9" s="12"/>
      <c r="F9" s="12"/>
      <c r="G9" s="12"/>
      <c r="H9" s="12"/>
    </row>
    <row r="10" ht="19.35" customHeight="1" spans="1:8">
      <c r="A10" s="13"/>
      <c r="B10" s="14" t="s">
        <v>12</v>
      </c>
      <c r="C10" s="14"/>
      <c r="D10" s="15" t="s">
        <v>13</v>
      </c>
      <c r="E10" s="16" t="s">
        <v>14</v>
      </c>
      <c r="F10" s="16" t="s">
        <v>15</v>
      </c>
      <c r="G10" s="16" t="s">
        <v>16</v>
      </c>
      <c r="H10" s="16" t="s">
        <v>17</v>
      </c>
    </row>
    <row r="11" ht="18" customHeight="1" spans="1:8">
      <c r="A11" s="14">
        <v>1</v>
      </c>
      <c r="B11" s="17" t="s">
        <v>18</v>
      </c>
      <c r="C11" s="18"/>
      <c r="D11" s="19"/>
      <c r="E11" s="19">
        <v>10</v>
      </c>
      <c r="F11" s="19">
        <v>58.33</v>
      </c>
      <c r="G11" s="19">
        <f>E11*F11</f>
        <v>583.3</v>
      </c>
      <c r="H11" s="20">
        <v>46152</v>
      </c>
    </row>
    <row r="12" ht="18" customHeight="1" spans="1:8">
      <c r="A12" s="14">
        <v>2</v>
      </c>
      <c r="B12" s="17" t="s">
        <v>19</v>
      </c>
      <c r="C12" s="18"/>
      <c r="D12" s="19"/>
      <c r="E12" s="19">
        <v>250</v>
      </c>
      <c r="F12" s="19">
        <v>21.85</v>
      </c>
      <c r="G12" s="19">
        <f t="shared" ref="G12" si="0">E12*F12</f>
        <v>5462.5</v>
      </c>
      <c r="H12" s="20">
        <v>46152</v>
      </c>
    </row>
    <row r="13" ht="18" customHeight="1" spans="1:8">
      <c r="A13" s="21" t="s">
        <v>20</v>
      </c>
      <c r="B13" s="21"/>
      <c r="C13" s="21"/>
      <c r="D13" s="21"/>
      <c r="E13" s="22">
        <f>SUM(E11:E12)</f>
        <v>260</v>
      </c>
      <c r="F13" s="23"/>
      <c r="G13" s="24">
        <f>SUM(G11:G12)</f>
        <v>6045.8</v>
      </c>
      <c r="H13" s="23"/>
    </row>
    <row r="14" s="2" customFormat="1" ht="18" customHeight="1" spans="1:8">
      <c r="A14" s="4"/>
      <c r="B14" s="4"/>
      <c r="C14" s="4"/>
      <c r="D14" s="4"/>
      <c r="E14" s="4"/>
      <c r="F14" s="4"/>
      <c r="G14" s="4"/>
      <c r="H14" s="4"/>
    </row>
    <row r="15" ht="17.25" customHeight="1" spans="1:8">
      <c r="A15" s="25" t="s">
        <v>21</v>
      </c>
      <c r="B15" s="25"/>
      <c r="C15" s="25"/>
      <c r="D15" s="26"/>
      <c r="E15" s="26"/>
      <c r="F15" s="26"/>
      <c r="G15" s="26"/>
      <c r="H15" s="1"/>
    </row>
    <row r="16" s="1" customFormat="1" ht="18" customHeight="1" spans="1:8">
      <c r="A16" s="25" t="s">
        <v>22</v>
      </c>
      <c r="B16" s="25"/>
      <c r="C16" s="25"/>
      <c r="D16" s="27"/>
      <c r="E16" s="27"/>
      <c r="F16" s="27"/>
      <c r="G16" s="27"/>
    </row>
    <row r="17" s="1" customFormat="1" ht="18" customHeight="1" spans="1:9">
      <c r="A17" s="25" t="s">
        <v>23</v>
      </c>
      <c r="B17"/>
      <c r="C17"/>
      <c r="D17"/>
      <c r="E17"/>
      <c r="F17"/>
      <c r="G17"/>
      <c r="H17"/>
    </row>
    <row r="18" s="1" customFormat="1" ht="18" customHeight="1" spans="1:9">
      <c r="A18" s="25" t="s">
        <v>24</v>
      </c>
      <c r="B18" s="25"/>
      <c r="C18" s="25"/>
      <c r="D18" s="27"/>
      <c r="E18" s="26"/>
      <c r="F18" s="26"/>
      <c r="G18" s="26"/>
      <c r="I18"/>
    </row>
    <row r="19" s="1" customFormat="1" ht="18" customHeight="1" spans="1:9">
      <c r="A19" s="25" t="s">
        <v>25</v>
      </c>
      <c r="B19" s="25"/>
      <c r="C19" s="25"/>
      <c r="D19" s="12"/>
      <c r="E19" s="12"/>
      <c r="F19"/>
      <c r="G19" s="26"/>
    </row>
    <row r="20" s="1" customFormat="1" ht="18" customHeight="1" spans="1:9">
      <c r="A20" s="25" t="s">
        <v>26</v>
      </c>
      <c r="B20" s="25"/>
      <c r="C20" s="25"/>
      <c r="D20" s="25"/>
      <c r="E20" s="25"/>
      <c r="F20" s="25"/>
      <c r="G20" s="25"/>
    </row>
    <row r="21" s="1" customFormat="1" ht="18" customHeight="1" spans="1:9">
      <c r="A21" s="25" t="s">
        <v>27</v>
      </c>
      <c r="B21"/>
      <c r="C21"/>
      <c r="D21"/>
      <c r="E21"/>
      <c r="F21"/>
      <c r="G21"/>
      <c r="H21"/>
    </row>
    <row r="22" s="1" customFormat="1" ht="18" customHeight="1" spans="1:9">
      <c r="A22" s="25" t="s">
        <v>28</v>
      </c>
      <c r="B22" s="25"/>
      <c r="C22" s="25"/>
      <c r="D22" s="25"/>
      <c r="E22" s="25"/>
      <c r="F22" s="25"/>
      <c r="G22" s="25"/>
    </row>
    <row r="23" s="1" customFormat="1" ht="18" customHeight="1" spans="1:9">
      <c r="A23" s="25" t="s">
        <v>29</v>
      </c>
      <c r="B23" s="25"/>
      <c r="C23" s="25"/>
      <c r="D23" s="25"/>
      <c r="E23" s="25"/>
      <c r="F23" s="25"/>
      <c r="G23" s="25"/>
    </row>
    <row r="24" s="1" customFormat="1" ht="18" customHeight="1" spans="1:9">
      <c r="A24" s="25" t="s">
        <v>30</v>
      </c>
      <c r="B24" s="25"/>
      <c r="C24" s="25"/>
      <c r="D24" s="25"/>
      <c r="E24" s="25"/>
      <c r="F24" s="25"/>
      <c r="G24" s="25"/>
    </row>
    <row r="25" s="1" customFormat="1" ht="18" customHeight="1" spans="1:9">
      <c r="A25" s="28" t="s">
        <v>31</v>
      </c>
      <c r="B25" s="25"/>
      <c r="C25" s="25"/>
      <c r="D25" s="25"/>
      <c r="E25" s="25"/>
      <c r="F25" s="25"/>
      <c r="G25" s="25"/>
      <c r="H25" s="25"/>
    </row>
    <row r="26" s="1" customFormat="1" ht="42.75" customHeight="1" spans="1:9">
      <c r="A26" s="29" t="s">
        <v>32</v>
      </c>
      <c r="B26" s="29"/>
      <c r="C26" s="29"/>
      <c r="D26" s="29"/>
      <c r="E26" s="29"/>
      <c r="F26" s="29"/>
      <c r="G26" s="29"/>
      <c r="H26" s="29"/>
    </row>
    <row r="27" s="1" customFormat="1" ht="30" customHeight="1" spans="1:9">
      <c r="A27" s="30" t="s">
        <v>33</v>
      </c>
      <c r="B27" s="31"/>
      <c r="C27" s="31"/>
      <c r="D27" s="31"/>
      <c r="E27" s="32"/>
      <c r="F27" s="33" t="s">
        <v>34</v>
      </c>
      <c r="G27" s="34"/>
      <c r="H27" s="35"/>
    </row>
    <row r="28" s="3" customFormat="1" ht="23.45" customHeight="1" spans="1:9">
      <c r="A28" s="36" t="s">
        <v>35</v>
      </c>
      <c r="B28" s="37"/>
      <c r="C28" s="38" t="s">
        <v>2</v>
      </c>
      <c r="D28" s="38"/>
      <c r="E28" s="39"/>
      <c r="F28" s="40" t="s">
        <v>36</v>
      </c>
      <c r="G28" s="41" t="s">
        <v>7</v>
      </c>
      <c r="H28" s="42"/>
    </row>
    <row r="29" spans="1:9">
      <c r="A29" s="36" t="s">
        <v>37</v>
      </c>
      <c r="B29" s="37"/>
      <c r="C29" s="38" t="s">
        <v>38</v>
      </c>
      <c r="D29" s="38"/>
      <c r="E29" s="39"/>
      <c r="F29" s="40" t="s">
        <v>37</v>
      </c>
      <c r="G29" s="43" t="s">
        <v>39</v>
      </c>
      <c r="H29" s="44"/>
    </row>
    <row r="30" spans="1:9">
      <c r="A30" s="45"/>
      <c r="B30" s="14"/>
      <c r="C30" s="38" t="s">
        <v>40</v>
      </c>
      <c r="D30" s="38"/>
      <c r="E30" s="39"/>
      <c r="F30" s="40"/>
      <c r="G30" s="46"/>
      <c r="H30" s="47"/>
    </row>
    <row r="31" ht="15" spans="1:9">
      <c r="A31" s="36" t="s">
        <v>41</v>
      </c>
      <c r="B31" s="37"/>
      <c r="C31" s="48" t="s">
        <v>42</v>
      </c>
      <c r="D31" s="48"/>
      <c r="E31" s="49"/>
      <c r="F31" s="40" t="s">
        <v>43</v>
      </c>
      <c r="G31" s="50" t="s">
        <v>44</v>
      </c>
      <c r="H31" s="51"/>
    </row>
    <row r="32" ht="18" customHeight="1" spans="1:9">
      <c r="A32" s="36" t="s">
        <v>45</v>
      </c>
      <c r="B32" s="37"/>
      <c r="C32" s="48" t="s">
        <v>46</v>
      </c>
      <c r="D32" s="48"/>
      <c r="E32" s="49"/>
      <c r="F32" s="40" t="s">
        <v>47</v>
      </c>
      <c r="G32" s="50"/>
      <c r="H32" s="51"/>
    </row>
    <row r="33" ht="18" customHeight="1" spans="1:8">
      <c r="A33" s="36" t="s">
        <v>48</v>
      </c>
      <c r="B33" s="37"/>
      <c r="C33" s="52" t="s">
        <v>49</v>
      </c>
      <c r="D33" s="52"/>
      <c r="E33" s="53"/>
      <c r="F33" s="40" t="s">
        <v>48</v>
      </c>
      <c r="G33" s="54"/>
      <c r="H33" s="55"/>
    </row>
    <row r="34" ht="29.25" customHeight="1" spans="1:8">
      <c r="A34" s="56" t="s">
        <v>50</v>
      </c>
      <c r="B34" s="57"/>
      <c r="C34" s="58" t="s">
        <v>51</v>
      </c>
      <c r="D34" s="59"/>
      <c r="E34" s="60"/>
      <c r="F34" s="40" t="s">
        <v>52</v>
      </c>
      <c r="G34" s="61"/>
      <c r="H34" s="62"/>
    </row>
    <row r="35" ht="18" customHeight="1" spans="1:8">
      <c r="A35" s="56" t="s">
        <v>53</v>
      </c>
      <c r="B35" s="57"/>
      <c r="C35" s="58" t="s">
        <v>54</v>
      </c>
      <c r="D35" s="59"/>
      <c r="E35" s="60"/>
      <c r="F35" s="40"/>
      <c r="G35" s="38"/>
      <c r="H35" s="39"/>
    </row>
    <row r="36" ht="18" customHeight="1" spans="1:8">
      <c r="A36" s="63" t="s">
        <v>55</v>
      </c>
      <c r="B36" s="64"/>
      <c r="C36" s="65" t="s">
        <v>56</v>
      </c>
      <c r="D36" s="65"/>
      <c r="E36" s="66"/>
      <c r="F36" s="67" t="s">
        <v>55</v>
      </c>
      <c r="G36" s="65" t="s">
        <v>57</v>
      </c>
      <c r="H36" s="66"/>
    </row>
    <row r="37" ht="18" customHeight="1" spans="1:8">
      <c r="A37" s="68"/>
      <c r="B37" s="68"/>
      <c r="C37" s="68"/>
      <c r="D37" s="68"/>
      <c r="E37" s="68"/>
      <c r="F37" s="68"/>
      <c r="G37" s="68"/>
      <c r="H37" s="68"/>
    </row>
    <row r="38" ht="18" customHeight="1" spans="1:8">
      <c r="A38" s="68"/>
      <c r="B38" s="68"/>
      <c r="C38" s="68"/>
      <c r="D38" s="68"/>
      <c r="E38" s="68"/>
      <c r="F38" s="68"/>
      <c r="G38" s="68"/>
      <c r="H38" s="68"/>
    </row>
    <row r="39" customHeight="1" spans="1:8">
      <c r="A39" s="68"/>
      <c r="B39" s="68"/>
      <c r="C39" s="68"/>
      <c r="D39" s="68"/>
      <c r="E39" s="68"/>
      <c r="F39" s="68"/>
      <c r="G39" s="68"/>
      <c r="H39" s="68"/>
    </row>
    <row r="40" customHeight="1" spans="1:8">
      <c r="H40" s="68"/>
    </row>
  </sheetData>
  <mergeCells count="47">
    <mergeCell ref="A3:H3"/>
    <mergeCell ref="G4:H4"/>
    <mergeCell ref="G5:H5"/>
    <mergeCell ref="B6:F6"/>
    <mergeCell ref="G6:H6"/>
    <mergeCell ref="B7:F7"/>
    <mergeCell ref="A8:G8"/>
    <mergeCell ref="A9:H9"/>
    <mergeCell ref="B10:C10"/>
    <mergeCell ref="B11:C11"/>
    <mergeCell ref="B12:C12"/>
    <mergeCell ref="A13:D13"/>
    <mergeCell ref="A15:C15"/>
    <mergeCell ref="A16:G16"/>
    <mergeCell ref="A18:D18"/>
    <mergeCell ref="A19:F19"/>
    <mergeCell ref="A21:H21"/>
    <mergeCell ref="A22:G22"/>
    <mergeCell ref="A23:G23"/>
    <mergeCell ref="A24:G24"/>
    <mergeCell ref="A25:H25"/>
    <mergeCell ref="A26:H26"/>
    <mergeCell ref="A27:E27"/>
    <mergeCell ref="F27:H27"/>
    <mergeCell ref="C28:E28"/>
    <mergeCell ref="G28:H28"/>
    <mergeCell ref="C29:E29"/>
    <mergeCell ref="A30:B30"/>
    <mergeCell ref="C30:E30"/>
    <mergeCell ref="G30:H30"/>
    <mergeCell ref="A31:B31"/>
    <mergeCell ref="C31:E31"/>
    <mergeCell ref="G31:H31"/>
    <mergeCell ref="A32:B32"/>
    <mergeCell ref="C32:E32"/>
    <mergeCell ref="G32:H32"/>
    <mergeCell ref="C33:E33"/>
    <mergeCell ref="G33:H33"/>
    <mergeCell ref="C34:E34"/>
    <mergeCell ref="G34:H34"/>
    <mergeCell ref="C35:E35"/>
    <mergeCell ref="G35:H35"/>
    <mergeCell ref="C36:E36"/>
    <mergeCell ref="G36:H36"/>
    <mergeCell ref="A37:H37"/>
    <mergeCell ref="A38:H38"/>
    <mergeCell ref="A39:H39"/>
  </mergeCells>
  <printOptions horizontalCentered="1"/>
  <pageMargins left="0.236220472440945" right="0.236220472440945" top="0.236220472440945" bottom="0.236220472440945" header="0.15748031496063" footer="0.15748031496063"/>
  <pageSetup paperSize="1" scale="93" orientation="portrait" horizontalDpi="1200" verticalDpi="12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USD合同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Danae Huang</dc:creator>
  <cp:lastModifiedBy>一叶醉梦</cp:lastModifiedBy>
  <dcterms:created xsi:type="dcterms:W3CDTF">2004-01-13T11:06:00Z</dcterms:created>
  <cp:lastPrinted>2025-09-16T05:49:00Z</cp:lastPrinted>
  <dcterms:modified xsi:type="dcterms:W3CDTF">2026-04-23T07:10:51Z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E7A644A96CC54940A99554D5277FD7C8_13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