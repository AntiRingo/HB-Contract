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3" sheetId="3" r:id="rId2"/>
    <sheet name="Sheet4" sheetId="4" r:id="rId3"/>
    <sheet name="Sheet5" sheetId="5" r:id="rId4"/>
    <sheet name="Sheet6" sheetId="6" r:id="rId5"/>
    <sheet name="Sheet7" sheetId="7" r:id="rId6"/>
  </sheets>
  <definedNames>
    <definedName name="_xlnm.Print_Area" localSheetId="0">Sheet1!$B$1:$L$63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<sst xmlns="http://schemas.openxmlformats.org/spreadsheetml/2006/main" count="104" uniqueCount="88">
  <si>
    <t>购销订单</t>
  </si>
  <si>
    <t>页码：</t>
  </si>
  <si>
    <r>
      <rPr>
        <sz val="8"/>
        <rFont val="宋体"/>
        <charset val="134"/>
      </rPr>
      <t>（请选择）</t>
    </r>
  </si>
  <si>
    <t>订单号：</t>
  </si>
  <si>
    <t>HB20260226-ARROW01</t>
  </si>
  <si>
    <t>合同号：（如有）</t>
  </si>
  <si>
    <t>日期：</t>
  </si>
  <si>
    <r>
      <rPr>
        <sz val="8"/>
        <rFont val="宋体"/>
        <charset val="134"/>
      </rPr>
      <t>艾睿（中国）电子贸易有限公司</t>
    </r>
  </si>
  <si>
    <r>
      <rPr>
        <sz val="8"/>
        <rFont val="宋体"/>
        <charset val="134"/>
      </rPr>
      <t>中国（上海）自由贸易试验区巴圣路275号</t>
    </r>
    <r>
      <rPr>
        <sz val="8"/>
        <rFont val="Arial"/>
        <charset val="134"/>
      </rPr>
      <t>1</t>
    </r>
    <r>
      <rPr>
        <sz val="8"/>
        <rFont val="宋体"/>
        <charset val="134"/>
      </rPr>
      <t>幢</t>
    </r>
    <r>
      <rPr>
        <sz val="8"/>
        <rFont val="Arial"/>
        <charset val="134"/>
      </rPr>
      <t>A</t>
    </r>
    <r>
      <rPr>
        <sz val="8"/>
        <rFont val="宋体"/>
        <charset val="134"/>
      </rPr>
      <t>部位</t>
    </r>
  </si>
  <si>
    <r>
      <rPr>
        <sz val="8"/>
        <rFont val="宋体"/>
        <charset val="134"/>
      </rPr>
      <t>艾睿电子中国有限公司</t>
    </r>
  </si>
  <si>
    <r>
      <rPr>
        <sz val="8"/>
        <rFont val="宋体"/>
        <charset val="134"/>
      </rPr>
      <t>香港沙田科学园科技大道东</t>
    </r>
    <r>
      <rPr>
        <sz val="8"/>
        <rFont val="Arial"/>
        <charset val="134"/>
      </rPr>
      <t>18</t>
    </r>
    <r>
      <rPr>
        <sz val="8"/>
        <rFont val="宋体"/>
        <charset val="134"/>
      </rPr>
      <t>号绿景楼</t>
    </r>
    <r>
      <rPr>
        <sz val="8"/>
        <rFont val="Arial"/>
        <charset val="134"/>
      </rPr>
      <t>2-3</t>
    </r>
    <r>
      <rPr>
        <sz val="8"/>
        <rFont val="宋体"/>
        <charset val="134"/>
      </rPr>
      <t>楼</t>
    </r>
  </si>
  <si>
    <t>供方</t>
  </si>
  <si>
    <t>公司名称：</t>
  </si>
  <si>
    <t>艾睿（中国）电子贸易有限公司杭州分公司</t>
  </si>
  <si>
    <t>需方</t>
  </si>
  <si>
    <t>绍兴宏邦电子科技有限公司</t>
  </si>
  <si>
    <t>艾睿（中国）电子貿易有限公司深圳分公司</t>
  </si>
  <si>
    <r>
      <rPr>
        <sz val="8"/>
        <rFont val="宋体"/>
        <charset val="134"/>
      </rPr>
      <t>深圳市福田区福保街道福田保税区红花路</t>
    </r>
    <r>
      <rPr>
        <sz val="8"/>
        <rFont val="Arial"/>
        <charset val="134"/>
      </rPr>
      <t>99</t>
    </r>
    <r>
      <rPr>
        <sz val="8"/>
        <rFont val="宋体"/>
        <charset val="134"/>
      </rPr>
      <t>号长平商务大厦3层</t>
    </r>
  </si>
  <si>
    <t>地址：</t>
  </si>
  <si>
    <t>浙江省杭州市滨江区长河街道越达巷82号房天下大厦17层1711-1713、1718-1729室</t>
  </si>
  <si>
    <t>浙江.绍兴市越城区稽山街道嵊山路167号</t>
  </si>
  <si>
    <t>艾睿（中国）电子贸易有限公司北京分公司</t>
  </si>
  <si>
    <r>
      <rPr>
        <sz val="8"/>
        <rFont val="微软雅黑"/>
        <charset val="134"/>
      </rPr>
      <t>北京市朝阳区酒仙桥路</t>
    </r>
    <r>
      <rPr>
        <sz val="8"/>
        <rFont val="Arial"/>
        <charset val="134"/>
      </rPr>
      <t xml:space="preserve">6 </t>
    </r>
    <r>
      <rPr>
        <sz val="8"/>
        <rFont val="微软雅黑"/>
        <charset val="134"/>
      </rPr>
      <t>号电子城</t>
    </r>
    <r>
      <rPr>
        <sz val="8"/>
        <rFont val="Arial"/>
        <charset val="134"/>
      </rPr>
      <t>·</t>
    </r>
    <r>
      <rPr>
        <sz val="8"/>
        <rFont val="微软雅黑"/>
        <charset val="134"/>
      </rPr>
      <t>国际电子总部</t>
    </r>
    <r>
      <rPr>
        <sz val="8"/>
        <rFont val="Arial"/>
        <charset val="134"/>
      </rPr>
      <t xml:space="preserve">6 </t>
    </r>
    <r>
      <rPr>
        <sz val="8"/>
        <rFont val="微软雅黑"/>
        <charset val="134"/>
      </rPr>
      <t>号楼</t>
    </r>
    <r>
      <rPr>
        <sz val="8"/>
        <rFont val="Arial"/>
        <charset val="134"/>
      </rPr>
      <t xml:space="preserve">6B-10 </t>
    </r>
    <r>
      <rPr>
        <sz val="8"/>
        <rFont val="微软雅黑"/>
        <charset val="134"/>
      </rPr>
      <t>层</t>
    </r>
  </si>
  <si>
    <r>
      <rPr>
        <sz val="8"/>
        <rFont val="宋体"/>
        <charset val="134"/>
      </rPr>
      <t>艾睿（中国）电子贸易有限公司南京分公司</t>
    </r>
  </si>
  <si>
    <r>
      <rPr>
        <sz val="8"/>
        <rFont val="宋体"/>
        <charset val="134"/>
      </rPr>
      <t>江宁区胜利路</t>
    </r>
    <r>
      <rPr>
        <sz val="8"/>
        <rFont val="Arial"/>
        <charset val="134"/>
      </rPr>
      <t>89</t>
    </r>
    <r>
      <rPr>
        <sz val="8"/>
        <rFont val="宋体"/>
        <charset val="134"/>
      </rPr>
      <t>号紫金研发创业中心</t>
    </r>
    <r>
      <rPr>
        <sz val="8"/>
        <rFont val="Arial"/>
        <charset val="134"/>
      </rPr>
      <t>3</t>
    </r>
    <r>
      <rPr>
        <sz val="8"/>
        <rFont val="宋体"/>
        <charset val="134"/>
      </rPr>
      <t>号楼</t>
    </r>
    <r>
      <rPr>
        <sz val="8"/>
        <rFont val="Arial"/>
        <charset val="134"/>
      </rPr>
      <t>6</t>
    </r>
    <r>
      <rPr>
        <sz val="8"/>
        <rFont val="宋体"/>
        <charset val="134"/>
      </rPr>
      <t>层</t>
    </r>
    <r>
      <rPr>
        <sz val="8"/>
        <rFont val="Arial"/>
        <charset val="134"/>
      </rPr>
      <t>602</t>
    </r>
    <r>
      <rPr>
        <sz val="8"/>
        <rFont val="宋体"/>
        <charset val="134"/>
      </rPr>
      <t>室</t>
    </r>
  </si>
  <si>
    <t>联系人：</t>
  </si>
  <si>
    <t>Huber.Hu</t>
  </si>
  <si>
    <t>周则尧</t>
  </si>
  <si>
    <r>
      <rPr>
        <sz val="8"/>
        <rFont val="宋体"/>
        <charset val="134"/>
      </rPr>
      <t>艾睿（中国）电子贸易有限公司苏州分公司</t>
    </r>
  </si>
  <si>
    <r>
      <rPr>
        <sz val="8"/>
        <rFont val="宋体"/>
        <charset val="134"/>
      </rPr>
      <t>江苏省苏州市苏州工业园区华池街时代广场</t>
    </r>
    <r>
      <rPr>
        <sz val="8"/>
        <rFont val="Arial"/>
        <charset val="134"/>
      </rPr>
      <t>24</t>
    </r>
    <r>
      <rPr>
        <sz val="8"/>
        <rFont val="宋体"/>
        <charset val="134"/>
      </rPr>
      <t>幢苏州国际金融中心</t>
    </r>
    <r>
      <rPr>
        <sz val="8"/>
        <rFont val="Arial"/>
        <charset val="134"/>
      </rPr>
      <t>615</t>
    </r>
    <r>
      <rPr>
        <sz val="8"/>
        <rFont val="宋体"/>
        <charset val="134"/>
      </rPr>
      <t>室</t>
    </r>
  </si>
  <si>
    <t>联系人电话：</t>
  </si>
  <si>
    <r>
      <rPr>
        <sz val="8"/>
        <rFont val="宋体"/>
        <charset val="134"/>
      </rPr>
      <t>艾睿电子（香港）有限公司</t>
    </r>
  </si>
  <si>
    <r>
      <rPr>
        <sz val="8"/>
        <rFont val="宋体"/>
        <charset val="134"/>
      </rPr>
      <t>中国（上海）自由贸易试验区加枫路</t>
    </r>
    <r>
      <rPr>
        <sz val="8"/>
        <rFont val="Arial"/>
        <charset val="134"/>
      </rPr>
      <t>24</t>
    </r>
    <r>
      <rPr>
        <sz val="8"/>
        <rFont val="宋体"/>
        <charset val="134"/>
      </rPr>
      <t>号</t>
    </r>
    <r>
      <rPr>
        <sz val="8"/>
        <rFont val="Arial"/>
        <charset val="134"/>
      </rPr>
      <t>2</t>
    </r>
    <r>
      <rPr>
        <sz val="8"/>
        <rFont val="宋体"/>
        <charset val="134"/>
      </rPr>
      <t>层</t>
    </r>
    <r>
      <rPr>
        <sz val="8"/>
        <rFont val="Arial"/>
        <charset val="134"/>
      </rPr>
      <t>203</t>
    </r>
    <r>
      <rPr>
        <sz val="8"/>
        <rFont val="宋体"/>
        <charset val="134"/>
      </rPr>
      <t>室</t>
    </r>
  </si>
  <si>
    <t>联系人邮箱：</t>
  </si>
  <si>
    <t>Huber.Hu@arrow.com</t>
  </si>
  <si>
    <t>zhou@hongbangtech.com</t>
  </si>
  <si>
    <t>艾睿（上海）贸易有限公司</t>
  </si>
  <si>
    <r>
      <rPr>
        <sz val="8"/>
        <rFont val="宋体"/>
        <charset val="134"/>
      </rPr>
      <t>北京市海淀区四道口路净土寺</t>
    </r>
    <r>
      <rPr>
        <sz val="8"/>
        <rFont val="Arial"/>
        <charset val="134"/>
      </rPr>
      <t>32</t>
    </r>
    <r>
      <rPr>
        <sz val="8"/>
        <rFont val="宋体"/>
        <charset val="134"/>
      </rPr>
      <t>号东区</t>
    </r>
    <r>
      <rPr>
        <sz val="8"/>
        <rFont val="Arial"/>
        <charset val="134"/>
      </rPr>
      <t>8</t>
    </r>
    <r>
      <rPr>
        <sz val="8"/>
        <rFont val="宋体"/>
        <charset val="134"/>
      </rPr>
      <t>号楼</t>
    </r>
    <r>
      <rPr>
        <sz val="8"/>
        <rFont val="Arial"/>
        <charset val="134"/>
      </rPr>
      <t>805</t>
    </r>
  </si>
  <si>
    <t>北京艾睿合众科技有限公司</t>
  </si>
  <si>
    <r>
      <rPr>
        <sz val="8"/>
        <rFont val="等线"/>
        <charset val="134"/>
      </rPr>
      <t>浙江省杭州市滨江区长河街道越达巷</t>
    </r>
    <r>
      <rPr>
        <sz val="8"/>
        <rFont val="Arial"/>
        <charset val="134"/>
      </rPr>
      <t>82</t>
    </r>
    <r>
      <rPr>
        <sz val="8"/>
        <rFont val="等线"/>
        <charset val="134"/>
      </rPr>
      <t>号房天下大厦</t>
    </r>
    <r>
      <rPr>
        <sz val="8"/>
        <rFont val="Arial"/>
        <charset val="134"/>
      </rPr>
      <t>17</t>
    </r>
    <r>
      <rPr>
        <sz val="8"/>
        <rFont val="等线"/>
        <charset val="134"/>
      </rPr>
      <t>层</t>
    </r>
    <r>
      <rPr>
        <sz val="8"/>
        <rFont val="Arial"/>
        <charset val="134"/>
      </rPr>
      <t>1711-1713</t>
    </r>
    <r>
      <rPr>
        <sz val="8"/>
        <rFont val="等线"/>
        <charset val="134"/>
      </rPr>
      <t>、</t>
    </r>
    <r>
      <rPr>
        <sz val="8"/>
        <rFont val="Arial"/>
        <charset val="134"/>
      </rPr>
      <t>1718-1729</t>
    </r>
    <r>
      <rPr>
        <sz val="8"/>
        <rFont val="等线"/>
        <charset val="134"/>
      </rPr>
      <t>室</t>
    </r>
  </si>
  <si>
    <t>兹经供需双方同意成交下列产品并订立条款如下：</t>
  </si>
  <si>
    <t>原生产商</t>
  </si>
  <si>
    <t>原生产商料号</t>
  </si>
  <si>
    <r>
      <rPr>
        <b/>
        <sz val="10"/>
        <rFont val="宋体"/>
        <charset val="134"/>
      </rPr>
      <t>客户料号</t>
    </r>
  </si>
  <si>
    <r>
      <rPr>
        <b/>
        <sz val="10"/>
        <rFont val="宋体"/>
        <charset val="134"/>
      </rPr>
      <t>数量</t>
    </r>
  </si>
  <si>
    <r>
      <rPr>
        <b/>
        <sz val="10"/>
        <rFont val="宋体"/>
        <charset val="134"/>
      </rPr>
      <t>价格</t>
    </r>
    <r>
      <rPr>
        <b/>
        <sz val="10"/>
        <rFont val="Arial"/>
        <charset val="134"/>
      </rPr>
      <t xml:space="preserve">       (USD)</t>
    </r>
  </si>
  <si>
    <t>报价汇率</t>
  </si>
  <si>
    <r>
      <rPr>
        <b/>
        <sz val="10"/>
        <rFont val="宋体"/>
        <charset val="134"/>
      </rPr>
      <t>价格</t>
    </r>
    <r>
      <rPr>
        <b/>
        <sz val="10"/>
        <rFont val="Arial"/>
        <charset val="134"/>
      </rPr>
      <t xml:space="preserve">       </t>
    </r>
    <r>
      <rPr>
        <b/>
        <sz val="10"/>
        <rFont val="宋体"/>
        <charset val="134"/>
      </rPr>
      <t>（</t>
    </r>
    <r>
      <rPr>
        <b/>
        <sz val="10"/>
        <rFont val="Arial"/>
        <charset val="134"/>
      </rPr>
      <t>RMB</t>
    </r>
    <r>
      <rPr>
        <b/>
        <sz val="10"/>
        <rFont val="宋体"/>
        <charset val="134"/>
      </rPr>
      <t>）</t>
    </r>
  </si>
  <si>
    <r>
      <rPr>
        <b/>
        <sz val="10"/>
        <rFont val="宋体"/>
        <charset val="134"/>
      </rPr>
      <t>含税价格（</t>
    </r>
    <r>
      <rPr>
        <b/>
        <sz val="10"/>
        <rFont val="Arial"/>
        <charset val="134"/>
      </rPr>
      <t>RMB</t>
    </r>
    <r>
      <rPr>
        <b/>
        <sz val="10"/>
        <rFont val="宋体"/>
        <charset val="134"/>
      </rPr>
      <t>）</t>
    </r>
  </si>
  <si>
    <r>
      <rPr>
        <b/>
        <sz val="10"/>
        <rFont val="宋体"/>
        <charset val="134"/>
      </rPr>
      <t>含税总金额（</t>
    </r>
    <r>
      <rPr>
        <b/>
        <sz val="10"/>
        <rFont val="Arial"/>
        <charset val="134"/>
      </rPr>
      <t>RMB</t>
    </r>
    <r>
      <rPr>
        <b/>
        <sz val="10"/>
        <rFont val="宋体"/>
        <charset val="134"/>
      </rPr>
      <t>）</t>
    </r>
  </si>
  <si>
    <r>
      <rPr>
        <b/>
        <sz val="10"/>
        <rFont val="宋体"/>
        <charset val="134"/>
      </rPr>
      <t>客户要求的交期</t>
    </r>
  </si>
  <si>
    <r>
      <rPr>
        <b/>
        <sz val="10"/>
        <rFont val="宋体"/>
        <charset val="134"/>
      </rPr>
      <t>备注</t>
    </r>
  </si>
  <si>
    <t>3M</t>
  </si>
  <si>
    <t>10250-55H3PC</t>
  </si>
  <si>
    <r>
      <t>14</t>
    </r>
    <r>
      <rPr>
        <sz val="10"/>
        <rFont val="宋体"/>
        <charset val="134"/>
      </rPr>
      <t>周</t>
    </r>
  </si>
  <si>
    <t>总计：</t>
  </si>
  <si>
    <r>
      <rPr>
        <b/>
        <sz val="10"/>
        <color theme="1"/>
        <rFont val="等线"/>
        <charset val="134"/>
        <scheme val="minor"/>
      </rPr>
      <t>备注：1.以美金报价为准，按报价汇率（见上表所列）折算为人民币价格。人民币付款时，如果出货日当天的汇率（指彭博汇率）和报价汇率相比变化超过【</t>
    </r>
    <r>
      <rPr>
        <b/>
        <u/>
        <sz val="10"/>
        <color theme="1"/>
        <rFont val="等线"/>
        <charset val="134"/>
        <scheme val="minor"/>
      </rPr>
      <t xml:space="preserve">        </t>
    </r>
    <r>
      <rPr>
        <b/>
        <sz val="10"/>
        <color theme="1"/>
        <rFont val="等线"/>
        <charset val="134"/>
        <scheme val="minor"/>
      </rPr>
      <t>】%（含），则将按出货日的汇率将美金报价折算为人民币价格。2.价格不含关税。在价格的基础上，需方应承担出货时适用的关税。供方有权相应调整价格。</t>
    </r>
  </si>
  <si>
    <t>付
款
条
件</t>
  </si>
  <si>
    <t>付
款
方
式</t>
  </si>
  <si>
    <t>交货条件：</t>
  </si>
  <si>
    <t>送货地址:</t>
  </si>
  <si>
    <t xml:space="preserve">
</t>
  </si>
  <si>
    <t>供方（盖章）：</t>
  </si>
  <si>
    <t>需方（盖章）：绍兴宏邦电子科技有限公司</t>
  </si>
  <si>
    <t>授权代表
（签字）：</t>
  </si>
  <si>
    <t>授权代表
（签字）:</t>
  </si>
  <si>
    <t>姓名：</t>
  </si>
  <si>
    <t>胡兵</t>
  </si>
  <si>
    <t>职位：</t>
  </si>
  <si>
    <t>高级客户经理</t>
  </si>
  <si>
    <t>采购经理</t>
  </si>
  <si>
    <t>Quoted Mfr</t>
  </si>
  <si>
    <t>Quoted Part</t>
  </si>
  <si>
    <t>Quoted Qty</t>
  </si>
  <si>
    <t>SMult</t>
  </si>
  <si>
    <t>MOQ</t>
  </si>
  <si>
    <t>Resale</t>
  </si>
  <si>
    <t>Rsl inc VAT</t>
  </si>
  <si>
    <t>Arrow LT</t>
  </si>
  <si>
    <t>TI</t>
  </si>
  <si>
    <t>LM2576HVSX-5.0/NOPB</t>
  </si>
  <si>
    <t>ONSEMI</t>
  </si>
  <si>
    <t>LM2576D2TR4-5G</t>
  </si>
  <si>
    <t>NCV20032DMR2G</t>
  </si>
  <si>
    <t>TLV2316QDGKRQ1</t>
  </si>
  <si>
    <t>TPS54061QDRBRQ1</t>
  </si>
  <si>
    <t>DRV8343SPHPRQ1</t>
  </si>
  <si>
    <t>LM2576HVSX-12/NOPB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</si>
</sst>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  <numFmt numFmtId="177" formatCode="0.00000_);[Red]\(0.00000\)"/>
    <numFmt numFmtId="178" formatCode="0.00;[Red]0.00"/>
    <numFmt numFmtId="179" formatCode="0_);[Red]\(0\)"/>
  </numFmts>
  <fonts count="35">
    <font>
      <sz val="11"/>
      <color theme="1"/>
      <name val="等线"/>
      <charset val="134"/>
      <scheme val="minor"/>
    </font>
    <font>
      <sz val="11"/>
      <color rgb="FF000000"/>
      <name val="Arial"/>
      <charset val="134"/>
    </font>
    <font>
      <b/>
      <sz val="11"/>
      <color theme="1"/>
      <name val="等线"/>
      <charset val="134"/>
      <scheme val="minor"/>
    </font>
    <font>
      <b/>
      <u/>
      <sz val="2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0"/>
      <name val="Arial"/>
      <charset val="134"/>
    </font>
    <font>
      <b/>
      <sz val="10"/>
      <name val="宋体"/>
      <charset val="134"/>
    </font>
    <font>
      <sz val="10"/>
      <name val="Arial"/>
      <charset val="134"/>
    </font>
    <font>
      <u/>
      <sz val="10"/>
      <color theme="1"/>
      <name val="等线"/>
      <charset val="134"/>
      <scheme val="minor"/>
    </font>
    <font>
      <sz val="8"/>
      <name val="Arial"/>
      <charset val="134"/>
    </font>
    <font>
      <sz val="8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  <font>
      <sz val="8"/>
      <name val="微软雅黑"/>
      <charset val="134"/>
    </font>
    <font>
      <b/>
      <u/>
      <sz val="10"/>
      <color theme="1"/>
      <name val="等线"/>
      <charset val="134"/>
      <scheme val="minor"/>
    </font>
    <font>
      <sz val="8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0" fillId="2" borderId="3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8" applyNumberFormat="0" applyFill="0" applyAlignment="0" applyProtection="0">
      <alignment vertical="center"/>
    </xf>
    <xf numFmtId="0" fontId="18" fillId="0" borderId="38" applyNumberFormat="0" applyFill="0" applyAlignment="0" applyProtection="0">
      <alignment vertical="center"/>
    </xf>
    <xf numFmtId="0" fontId="19" fillId="0" borderId="3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40" applyNumberFormat="0" applyAlignment="0" applyProtection="0">
      <alignment vertical="center"/>
    </xf>
    <xf numFmtId="0" fontId="21" fillId="4" borderId="41" applyNumberFormat="0" applyAlignment="0" applyProtection="0">
      <alignment vertical="center"/>
    </xf>
    <xf numFmtId="0" fontId="22" fillId="4" borderId="40" applyNumberFormat="0" applyAlignment="0" applyProtection="0">
      <alignment vertical="center"/>
    </xf>
    <xf numFmtId="0" fontId="23" fillId="5" borderId="42" applyNumberFormat="0" applyAlignment="0" applyProtection="0">
      <alignment vertical="center"/>
    </xf>
    <xf numFmtId="0" fontId="24" fillId="0" borderId="43" applyNumberFormat="0" applyFill="0" applyAlignment="0" applyProtection="0">
      <alignment vertical="center"/>
    </xf>
    <xf numFmtId="0" fontId="25" fillId="0" borderId="44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176" fontId="9" fillId="0" borderId="0"/>
  </cellStyleXfs>
  <cellXfs count="10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right" vertical="center" wrapText="1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4" fontId="4" fillId="0" borderId="8" xfId="0" applyNumberFormat="1" applyFont="1" applyBorder="1"/>
    <xf numFmtId="0" fontId="4" fillId="0" borderId="3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/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center" vertical="center"/>
    </xf>
    <xf numFmtId="0" fontId="4" fillId="0" borderId="0" xfId="0" applyFont="1"/>
    <xf numFmtId="0" fontId="4" fillId="0" borderId="17" xfId="0" applyFont="1" applyBorder="1"/>
    <xf numFmtId="0" fontId="4" fillId="0" borderId="18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0" borderId="0" xfId="6"/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3" xfId="0" applyFont="1" applyBorder="1"/>
    <xf numFmtId="0" fontId="4" fillId="0" borderId="24" xfId="0" applyFont="1" applyBorder="1"/>
    <xf numFmtId="0" fontId="4" fillId="0" borderId="3" xfId="0" applyFont="1" applyBorder="1" applyAlignment="1">
      <alignment horizontal="center" vertical="center"/>
    </xf>
    <xf numFmtId="0" fontId="6" fillId="0" borderId="0" xfId="0" applyFont="1"/>
    <xf numFmtId="0" fontId="4" fillId="0" borderId="9" xfId="0" applyFont="1" applyBorder="1" applyAlignment="1">
      <alignment horizontal="left"/>
    </xf>
    <xf numFmtId="0" fontId="7" fillId="0" borderId="11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9" fillId="0" borderId="28" xfId="0" applyFont="1" applyBorder="1" applyAlignment="1" applyProtection="1">
      <alignment horizontal="center" wrapText="1"/>
      <protection locked="0"/>
    </xf>
    <xf numFmtId="0" fontId="9" fillId="0" borderId="29" xfId="0" applyFont="1" applyBorder="1" applyAlignment="1" applyProtection="1">
      <alignment horizontal="center" wrapText="1"/>
      <protection locked="0"/>
    </xf>
    <xf numFmtId="0" fontId="9" fillId="0" borderId="29" xfId="0" applyFont="1" applyBorder="1" applyAlignment="1" applyProtection="1">
      <alignment wrapText="1"/>
      <protection locked="0"/>
    </xf>
    <xf numFmtId="176" fontId="9" fillId="0" borderId="29" xfId="0" applyNumberFormat="1" applyFont="1" applyBorder="1" applyAlignment="1" applyProtection="1">
      <alignment wrapText="1"/>
      <protection locked="0"/>
    </xf>
    <xf numFmtId="176" fontId="7" fillId="0" borderId="30" xfId="0" applyNumberFormat="1" applyFont="1" applyBorder="1" applyAlignment="1" applyProtection="1">
      <alignment wrapText="1"/>
      <protection locked="0"/>
    </xf>
    <xf numFmtId="0" fontId="4" fillId="0" borderId="31" xfId="0" applyFont="1" applyBorder="1"/>
    <xf numFmtId="0" fontId="4" fillId="0" borderId="32" xfId="0" applyFont="1" applyBorder="1"/>
    <xf numFmtId="0" fontId="4" fillId="0" borderId="1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1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0" fillId="0" borderId="18" xfId="0" applyFont="1" applyBorder="1" applyAlignment="1">
      <alignment horizontal="left" vertical="center"/>
    </xf>
    <xf numFmtId="0" fontId="4" fillId="0" borderId="23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/>
    <xf numFmtId="0" fontId="6" fillId="0" borderId="18" xfId="0" applyFont="1" applyBorder="1"/>
    <xf numFmtId="0" fontId="6" fillId="0" borderId="0" xfId="0" applyFont="1" applyAlignment="1">
      <alignment wrapText="1"/>
    </xf>
    <xf numFmtId="0" fontId="6" fillId="0" borderId="20" xfId="0" applyFont="1" applyBorder="1"/>
    <xf numFmtId="14" fontId="4" fillId="0" borderId="7" xfId="0" applyNumberFormat="1" applyFont="1" applyBorder="1"/>
    <xf numFmtId="0" fontId="4" fillId="0" borderId="12" xfId="0" applyFont="1" applyBorder="1"/>
    <xf numFmtId="0" fontId="4" fillId="0" borderId="4" xfId="0" applyFont="1" applyBorder="1"/>
    <xf numFmtId="177" fontId="4" fillId="0" borderId="2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5" fillId="0" borderId="20" xfId="6" applyBorder="1" applyAlignment="1">
      <alignment horizontal="left"/>
    </xf>
    <xf numFmtId="0" fontId="7" fillId="0" borderId="27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176" fontId="9" fillId="0" borderId="35" xfId="1" applyNumberFormat="1" applyFont="1" applyFill="1" applyBorder="1" applyAlignment="1" applyProtection="1">
      <alignment horizontal="right" vertical="top" wrapText="1"/>
    </xf>
    <xf numFmtId="14" fontId="9" fillId="0" borderId="35" xfId="1" applyNumberFormat="1" applyFont="1" applyFill="1" applyBorder="1" applyAlignment="1" applyProtection="1">
      <alignment horizontal="center" vertical="center" wrapText="1"/>
    </xf>
    <xf numFmtId="0" fontId="9" fillId="0" borderId="36" xfId="0" applyFont="1" applyBorder="1" applyAlignment="1" applyProtection="1">
      <alignment horizontal="center" wrapText="1"/>
      <protection locked="0"/>
    </xf>
    <xf numFmtId="14" fontId="9" fillId="0" borderId="35" xfId="1" applyNumberFormat="1" applyFont="1" applyFill="1" applyBorder="1" applyAlignment="1" applyProtection="1">
      <alignment horizontal="right" vertical="top" wrapText="1"/>
    </xf>
    <xf numFmtId="0" fontId="4" fillId="0" borderId="32" xfId="0" applyFont="1" applyBorder="1" applyAlignment="1">
      <alignment horizontal="center" vertical="center"/>
    </xf>
    <xf numFmtId="178" fontId="4" fillId="0" borderId="32" xfId="0" applyNumberFormat="1" applyFont="1" applyBorder="1" applyAlignment="1">
      <alignment horizontal="center" vertical="center"/>
    </xf>
    <xf numFmtId="0" fontId="4" fillId="0" borderId="2" xfId="0" applyFont="1" applyBorder="1"/>
    <xf numFmtId="0" fontId="4" fillId="0" borderId="8" xfId="0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6" fillId="0" borderId="33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49" fontId="12" fillId="0" borderId="0" xfId="0" applyNumberFormat="1" applyFont="1" applyAlignment="1">
      <alignment wrapText="1"/>
    </xf>
    <xf numFmtId="49" fontId="11" fillId="0" borderId="0" xfId="0" applyNumberFormat="1" applyFont="1" applyAlignment="1">
      <alignment wrapText="1"/>
    </xf>
    <xf numFmtId="179" fontId="11" fillId="0" borderId="0" xfId="0" applyNumberFormat="1" applyFont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checked="Checked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noThreeD="1" val="0"/>
</file>

<file path=xl/ctrlProps/ctrlProp13.xml><?xml version="1.0" encoding="utf-8"?>
<formControlPr xmlns="http://schemas.microsoft.com/office/spreadsheetml/2009/9/main" objectType="CheckBox" noThreeD="1" val="0"/>
</file>

<file path=xl/ctrlProps/ctrlProp14.xml><?xml version="1.0" encoding="utf-8"?>
<formControlPr xmlns="http://schemas.microsoft.com/office/spreadsheetml/2009/9/main" objectType="CheckBox" noThreeD="1" val="0"/>
</file>

<file path=xl/ctrlProps/ctrlProp15.xml><?xml version="1.0" encoding="utf-8"?>
<formControlPr xmlns="http://schemas.microsoft.com/office/spreadsheetml/2009/9/main" objectType="CheckBox" noThreeD="1" val="0"/>
</file>

<file path=xl/ctrlProps/ctrlProp16.xml><?xml version="1.0" encoding="utf-8"?>
<formControlPr xmlns="http://schemas.microsoft.com/office/spreadsheetml/2009/9/main" objectType="CheckBox" noThreeD="1" val="0"/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142875</xdr:colOff>
      <xdr:row>0</xdr:row>
      <xdr:rowOff>114300</xdr:rowOff>
    </xdr:from>
    <xdr:to>
      <xdr:col>2</xdr:col>
      <xdr:colOff>539115</xdr:colOff>
      <xdr:row>2</xdr:row>
      <xdr:rowOff>57150</xdr:rowOff>
    </xdr:to>
    <xdr:pic>
      <xdr:nvPicPr>
        <xdr:cNvPr id="2" name="Picture 2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28675" y="114300"/>
          <a:ext cx="139509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295275</xdr:colOff>
      <xdr:row>0</xdr:row>
      <xdr:rowOff>123825</xdr:rowOff>
    </xdr:from>
    <xdr:to>
      <xdr:col>10</xdr:col>
      <xdr:colOff>824865</xdr:colOff>
      <xdr:row>2</xdr:row>
      <xdr:rowOff>123825</xdr:rowOff>
    </xdr:to>
    <xdr:pic>
      <xdr:nvPicPr>
        <xdr:cNvPr id="3" name="图片 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989060" y="123825"/>
          <a:ext cx="164719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419100</xdr:colOff>
      <xdr:row>32</xdr:row>
      <xdr:rowOff>133350</xdr:rowOff>
    </xdr:from>
    <xdr:to>
      <xdr:col>3</xdr:col>
      <xdr:colOff>409575</xdr:colOff>
      <xdr:row>33</xdr:row>
      <xdr:rowOff>163830</xdr:rowOff>
    </xdr:to>
    <xdr:sp>
      <xdr:nvSpPr>
        <xdr:cNvPr id="6" name="文本框 1"/>
        <xdr:cNvSpPr txBox="1"/>
      </xdr:nvSpPr>
      <xdr:spPr>
        <a:xfrm>
          <a:off x="2103755" y="7143750"/>
          <a:ext cx="1565275" cy="2114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900"/>
            <a:t>发票日后</a:t>
          </a:r>
          <a:r>
            <a:rPr lang="zh-CN" altLang="en-US" sz="900" u="sng"/>
            <a:t>                      </a:t>
          </a:r>
          <a:r>
            <a:rPr lang="zh-CN" altLang="en-US" sz="900"/>
            <a:t>天</a:t>
          </a:r>
          <a:endParaRPr lang="zh-CN" altLang="en-US" sz="900"/>
        </a:p>
      </xdr:txBody>
    </xdr:sp>
    <xdr:clientData/>
  </xdr:twoCellAnchor>
  <xdr:twoCellAnchor>
    <xdr:from>
      <xdr:col>2</xdr:col>
      <xdr:colOff>447675</xdr:colOff>
      <xdr:row>34</xdr:row>
      <xdr:rowOff>66675</xdr:rowOff>
    </xdr:from>
    <xdr:to>
      <xdr:col>2</xdr:col>
      <xdr:colOff>1236345</xdr:colOff>
      <xdr:row>35</xdr:row>
      <xdr:rowOff>84136</xdr:rowOff>
    </xdr:to>
    <xdr:sp>
      <xdr:nvSpPr>
        <xdr:cNvPr id="11" name="文本框 24"/>
        <xdr:cNvSpPr txBox="1"/>
      </xdr:nvSpPr>
      <xdr:spPr>
        <a:xfrm>
          <a:off x="2132330" y="7439025"/>
          <a:ext cx="788670" cy="198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900"/>
            <a:t>款到发货</a:t>
          </a:r>
          <a:endParaRPr lang="zh-CN" altLang="en-US" sz="900"/>
        </a:p>
      </xdr:txBody>
    </xdr:sp>
    <xdr:clientData/>
  </xdr:twoCellAnchor>
  <xdr:twoCellAnchor>
    <xdr:from>
      <xdr:col>3</xdr:col>
      <xdr:colOff>1019175</xdr:colOff>
      <xdr:row>32</xdr:row>
      <xdr:rowOff>142875</xdr:rowOff>
    </xdr:from>
    <xdr:to>
      <xdr:col>5</xdr:col>
      <xdr:colOff>371475</xdr:colOff>
      <xdr:row>33</xdr:row>
      <xdr:rowOff>161925</xdr:rowOff>
    </xdr:to>
    <xdr:sp>
      <xdr:nvSpPr>
        <xdr:cNvPr id="12" name="文本框 23"/>
        <xdr:cNvSpPr txBox="1"/>
      </xdr:nvSpPr>
      <xdr:spPr>
        <a:xfrm>
          <a:off x="4278630" y="7153275"/>
          <a:ext cx="148590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100"/>
            </a:lnSpc>
          </a:pPr>
          <a:r>
            <a:rPr lang="zh-CN" altLang="en-US" sz="900"/>
            <a:t>月结</a:t>
          </a:r>
          <a:r>
            <a:rPr lang="zh-CN" altLang="zh-CN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</a:t>
          </a:r>
          <a:r>
            <a:rPr lang="zh-CN" altLang="en-US" sz="900"/>
            <a:t>天</a:t>
          </a:r>
          <a:endParaRPr lang="zh-CN" altLang="en-US" sz="900"/>
        </a:p>
      </xdr:txBody>
    </xdr:sp>
    <xdr:clientData/>
  </xdr:twoCellAnchor>
  <xdr:twoCellAnchor>
    <xdr:from>
      <xdr:col>3</xdr:col>
      <xdr:colOff>1019174</xdr:colOff>
      <xdr:row>34</xdr:row>
      <xdr:rowOff>85724</xdr:rowOff>
    </xdr:from>
    <xdr:to>
      <xdr:col>5</xdr:col>
      <xdr:colOff>590549</xdr:colOff>
      <xdr:row>35</xdr:row>
      <xdr:rowOff>161924</xdr:rowOff>
    </xdr:to>
    <xdr:sp>
      <xdr:nvSpPr>
        <xdr:cNvPr id="13" name="文本框 25"/>
        <xdr:cNvSpPr txBox="1"/>
      </xdr:nvSpPr>
      <xdr:spPr>
        <a:xfrm>
          <a:off x="4277995" y="7457440"/>
          <a:ext cx="17049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900"/>
            <a:t>其他</a:t>
          </a:r>
          <a:r>
            <a:rPr lang="zh-CN" altLang="en-US" sz="900" baseline="0"/>
            <a:t>   </a:t>
          </a:r>
          <a:r>
            <a:rPr lang="en-US" altLang="zh-CN" sz="900" u="sng" baseline="0"/>
            <a:t>Net 30</a:t>
          </a:r>
          <a:r>
            <a:rPr lang="zh-CN" altLang="en-US" sz="900" u="sng"/>
            <a:t>      </a:t>
          </a:r>
          <a:r>
            <a:rPr lang="zh-CN" altLang="en-US" sz="900" u="sng">
              <a:solidFill>
                <a:schemeClr val="bg1"/>
              </a:solidFill>
            </a:rPr>
            <a:t>天</a:t>
          </a:r>
          <a:endParaRPr lang="zh-CN" altLang="en-US" sz="900" u="sng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428625</xdr:colOff>
      <xdr:row>32</xdr:row>
      <xdr:rowOff>104775</xdr:rowOff>
    </xdr:from>
    <xdr:to>
      <xdr:col>8</xdr:col>
      <xdr:colOff>321945</xdr:colOff>
      <xdr:row>33</xdr:row>
      <xdr:rowOff>122236</xdr:rowOff>
    </xdr:to>
    <xdr:sp>
      <xdr:nvSpPr>
        <xdr:cNvPr id="18" name="文本框 24"/>
        <xdr:cNvSpPr txBox="1"/>
      </xdr:nvSpPr>
      <xdr:spPr>
        <a:xfrm>
          <a:off x="7327900" y="7115175"/>
          <a:ext cx="790575" cy="198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900"/>
            <a:t>电汇</a:t>
          </a:r>
          <a:endParaRPr lang="zh-CN" altLang="en-US" sz="900"/>
        </a:p>
      </xdr:txBody>
    </xdr:sp>
    <xdr:clientData/>
  </xdr:twoCellAnchor>
  <xdr:twoCellAnchor>
    <xdr:from>
      <xdr:col>7</xdr:col>
      <xdr:colOff>438150</xdr:colOff>
      <xdr:row>34</xdr:row>
      <xdr:rowOff>123825</xdr:rowOff>
    </xdr:from>
    <xdr:to>
      <xdr:col>8</xdr:col>
      <xdr:colOff>331470</xdr:colOff>
      <xdr:row>35</xdr:row>
      <xdr:rowOff>141286</xdr:rowOff>
    </xdr:to>
    <xdr:sp>
      <xdr:nvSpPr>
        <xdr:cNvPr id="19" name="文本框 24"/>
        <xdr:cNvSpPr txBox="1"/>
      </xdr:nvSpPr>
      <xdr:spPr>
        <a:xfrm>
          <a:off x="7337425" y="7496175"/>
          <a:ext cx="790575" cy="198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900"/>
            <a:t>支票</a:t>
          </a:r>
          <a:endParaRPr lang="zh-CN" altLang="en-US" sz="900"/>
        </a:p>
      </xdr:txBody>
    </xdr:sp>
    <xdr:clientData/>
  </xdr:twoCellAnchor>
  <xdr:twoCellAnchor>
    <xdr:from>
      <xdr:col>9</xdr:col>
      <xdr:colOff>419100</xdr:colOff>
      <xdr:row>32</xdr:row>
      <xdr:rowOff>114300</xdr:rowOff>
    </xdr:from>
    <xdr:to>
      <xdr:col>10</xdr:col>
      <xdr:colOff>312420</xdr:colOff>
      <xdr:row>33</xdr:row>
      <xdr:rowOff>131761</xdr:rowOff>
    </xdr:to>
    <xdr:sp>
      <xdr:nvSpPr>
        <xdr:cNvPr id="20" name="文本框 24"/>
        <xdr:cNvSpPr txBox="1"/>
      </xdr:nvSpPr>
      <xdr:spPr>
        <a:xfrm>
          <a:off x="9112885" y="7124700"/>
          <a:ext cx="1010920" cy="198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900"/>
            <a:t>信用证</a:t>
          </a:r>
          <a:endParaRPr lang="zh-CN" altLang="en-US" sz="900"/>
        </a:p>
      </xdr:txBody>
    </xdr:sp>
    <xdr:clientData/>
  </xdr:twoCellAnchor>
  <xdr:twoCellAnchor>
    <xdr:from>
      <xdr:col>9</xdr:col>
      <xdr:colOff>438150</xdr:colOff>
      <xdr:row>34</xdr:row>
      <xdr:rowOff>123825</xdr:rowOff>
    </xdr:from>
    <xdr:to>
      <xdr:col>11</xdr:col>
      <xdr:colOff>245777</xdr:colOff>
      <xdr:row>35</xdr:row>
      <xdr:rowOff>133350</xdr:rowOff>
    </xdr:to>
    <xdr:sp>
      <xdr:nvSpPr>
        <xdr:cNvPr id="21" name="文本框 25"/>
        <xdr:cNvSpPr txBox="1"/>
      </xdr:nvSpPr>
      <xdr:spPr>
        <a:xfrm>
          <a:off x="9131935" y="7496175"/>
          <a:ext cx="2042795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900"/>
            <a:t>其他</a:t>
          </a:r>
          <a:r>
            <a:rPr lang="zh-CN" altLang="en-US" sz="900" baseline="0"/>
            <a:t>   </a:t>
          </a:r>
          <a:r>
            <a:rPr lang="zh-CN" altLang="en-US" sz="900" u="sng"/>
            <a:t>                             </a:t>
          </a:r>
          <a:r>
            <a:rPr lang="zh-CN" altLang="en-US" sz="900" u="sng">
              <a:solidFill>
                <a:schemeClr val="bg1"/>
              </a:solidFill>
            </a:rPr>
            <a:t>天</a:t>
          </a:r>
          <a:endParaRPr lang="zh-CN" altLang="en-US" sz="900" u="sng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714375</xdr:colOff>
      <xdr:row>38</xdr:row>
      <xdr:rowOff>133350</xdr:rowOff>
    </xdr:from>
    <xdr:to>
      <xdr:col>2</xdr:col>
      <xdr:colOff>1308735</xdr:colOff>
      <xdr:row>39</xdr:row>
      <xdr:rowOff>127635</xdr:rowOff>
    </xdr:to>
    <xdr:sp>
      <xdr:nvSpPr>
        <xdr:cNvPr id="29" name="文本框 39"/>
        <xdr:cNvSpPr txBox="1"/>
      </xdr:nvSpPr>
      <xdr:spPr>
        <a:xfrm>
          <a:off x="2399030" y="8124825"/>
          <a:ext cx="59436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900">
              <a:latin typeface="Arial" panose="020B0604020202020204" pitchFamily="7" charset="0"/>
              <a:cs typeface="Arial" panose="020B0604020202020204" pitchFamily="7" charset="0"/>
            </a:rPr>
            <a:t>FOB</a:t>
          </a:r>
          <a:endParaRPr lang="zh-CN" altLang="en-US" sz="9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476250</xdr:colOff>
      <xdr:row>38</xdr:row>
      <xdr:rowOff>123825</xdr:rowOff>
    </xdr:from>
    <xdr:to>
      <xdr:col>3</xdr:col>
      <xdr:colOff>982666</xdr:colOff>
      <xdr:row>39</xdr:row>
      <xdr:rowOff>110852</xdr:rowOff>
    </xdr:to>
    <xdr:sp>
      <xdr:nvSpPr>
        <xdr:cNvPr id="30" name="文本框 42"/>
        <xdr:cNvSpPr txBox="1"/>
      </xdr:nvSpPr>
      <xdr:spPr>
        <a:xfrm>
          <a:off x="3735705" y="8115300"/>
          <a:ext cx="506095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900">
              <a:latin typeface="Arial" panose="020B0604020202020204" pitchFamily="7" charset="0"/>
              <a:cs typeface="Arial" panose="020B0604020202020204" pitchFamily="7" charset="0"/>
            </a:rPr>
            <a:t>DAP</a:t>
          </a:r>
          <a:endParaRPr lang="zh-CN" altLang="en-US" sz="9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4</xdr:col>
      <xdr:colOff>581025</xdr:colOff>
      <xdr:row>38</xdr:row>
      <xdr:rowOff>114300</xdr:rowOff>
    </xdr:from>
    <xdr:to>
      <xdr:col>5</xdr:col>
      <xdr:colOff>341143</xdr:colOff>
      <xdr:row>39</xdr:row>
      <xdr:rowOff>91587</xdr:rowOff>
    </xdr:to>
    <xdr:sp>
      <xdr:nvSpPr>
        <xdr:cNvPr id="31" name="文本框 43"/>
        <xdr:cNvSpPr txBox="1"/>
      </xdr:nvSpPr>
      <xdr:spPr>
        <a:xfrm>
          <a:off x="5212080" y="8105775"/>
          <a:ext cx="521970" cy="234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900">
              <a:latin typeface="Arial" panose="020B0604020202020204" pitchFamily="7" charset="0"/>
              <a:cs typeface="Arial" panose="020B0604020202020204" pitchFamily="7" charset="0"/>
            </a:rPr>
            <a:t>EXW</a:t>
          </a:r>
          <a:endParaRPr lang="zh-CN" altLang="en-US" sz="9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6</xdr:col>
      <xdr:colOff>609600</xdr:colOff>
      <xdr:row>38</xdr:row>
      <xdr:rowOff>114300</xdr:rowOff>
    </xdr:from>
    <xdr:to>
      <xdr:col>7</xdr:col>
      <xdr:colOff>420988</xdr:colOff>
      <xdr:row>39</xdr:row>
      <xdr:rowOff>100965</xdr:rowOff>
    </xdr:to>
    <xdr:sp>
      <xdr:nvSpPr>
        <xdr:cNvPr id="32" name="文本框 44"/>
        <xdr:cNvSpPr txBox="1"/>
      </xdr:nvSpPr>
      <xdr:spPr>
        <a:xfrm>
          <a:off x="6755765" y="8105775"/>
          <a:ext cx="563880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900">
              <a:latin typeface="Arial" panose="020B0604020202020204" pitchFamily="7" charset="0"/>
              <a:cs typeface="Arial" panose="020B0604020202020204" pitchFamily="7" charset="0"/>
            </a:rPr>
            <a:t>CIF</a:t>
          </a:r>
          <a:endParaRPr lang="zh-CN" altLang="en-US" sz="9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8</xdr:col>
      <xdr:colOff>257175</xdr:colOff>
      <xdr:row>38</xdr:row>
      <xdr:rowOff>114300</xdr:rowOff>
    </xdr:from>
    <xdr:to>
      <xdr:col>8</xdr:col>
      <xdr:colOff>763905</xdr:colOff>
      <xdr:row>39</xdr:row>
      <xdr:rowOff>110719</xdr:rowOff>
    </xdr:to>
    <xdr:sp>
      <xdr:nvSpPr>
        <xdr:cNvPr id="33" name="文本框 47"/>
        <xdr:cNvSpPr txBox="1"/>
      </xdr:nvSpPr>
      <xdr:spPr>
        <a:xfrm>
          <a:off x="8053705" y="8105775"/>
          <a:ext cx="506730" cy="253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900">
              <a:latin typeface="Arial" panose="020B0604020202020204" pitchFamily="7" charset="0"/>
              <a:cs typeface="Arial" panose="020B0604020202020204" pitchFamily="7" charset="0"/>
            </a:rPr>
            <a:t>DDP</a:t>
          </a:r>
          <a:endParaRPr lang="zh-CN" altLang="en-US" sz="9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704850</xdr:colOff>
      <xdr:row>39</xdr:row>
      <xdr:rowOff>152400</xdr:rowOff>
    </xdr:from>
    <xdr:to>
      <xdr:col>2</xdr:col>
      <xdr:colOff>1299265</xdr:colOff>
      <xdr:row>40</xdr:row>
      <xdr:rowOff>152400</xdr:rowOff>
    </xdr:to>
    <xdr:sp>
      <xdr:nvSpPr>
        <xdr:cNvPr id="34" name="文本框 41"/>
        <xdr:cNvSpPr txBox="1"/>
      </xdr:nvSpPr>
      <xdr:spPr>
        <a:xfrm>
          <a:off x="2389505" y="8401050"/>
          <a:ext cx="59436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900">
              <a:latin typeface="Arial" panose="020B0604020202020204" pitchFamily="7" charset="0"/>
              <a:cs typeface="Arial" panose="020B0604020202020204" pitchFamily="7" charset="0"/>
            </a:rPr>
            <a:t>FCA</a:t>
          </a:r>
          <a:endParaRPr lang="zh-CN" altLang="en-US" sz="900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457199</xdr:colOff>
      <xdr:row>39</xdr:row>
      <xdr:rowOff>123825</xdr:rowOff>
    </xdr:from>
    <xdr:to>
      <xdr:col>5</xdr:col>
      <xdr:colOff>114300</xdr:colOff>
      <xdr:row>40</xdr:row>
      <xdr:rowOff>57150</xdr:rowOff>
    </xdr:to>
    <xdr:sp>
      <xdr:nvSpPr>
        <xdr:cNvPr id="35" name="文本框 49"/>
        <xdr:cNvSpPr txBox="1"/>
      </xdr:nvSpPr>
      <xdr:spPr>
        <a:xfrm>
          <a:off x="3716020" y="8372475"/>
          <a:ext cx="179133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900"/>
            <a:t>其他</a:t>
          </a:r>
          <a:r>
            <a:rPr lang="zh-CN" altLang="en-US" sz="900" baseline="0"/>
            <a:t>   </a:t>
          </a:r>
          <a:r>
            <a:rPr lang="zh-CN" altLang="en-US" sz="900" u="sng"/>
            <a:t>                             </a:t>
          </a:r>
          <a:r>
            <a:rPr lang="zh-CN" altLang="en-US" sz="900" u="sng">
              <a:solidFill>
                <a:schemeClr val="bg1"/>
              </a:solidFill>
            </a:rPr>
            <a:t>天</a:t>
          </a:r>
          <a:endParaRPr lang="zh-CN" altLang="en-US" sz="900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10</xdr:col>
      <xdr:colOff>924567</xdr:colOff>
      <xdr:row>56</xdr:row>
      <xdr:rowOff>3511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9248775"/>
          <a:ext cx="10050145" cy="23939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209550</xdr:colOff>
          <xdr:row>27</xdr:row>
          <xdr:rowOff>76200</xdr:rowOff>
        </xdr:from>
        <xdr:to>
          <xdr:col>11</xdr:col>
          <xdr:colOff>0</xdr:colOff>
          <xdr:row>28</xdr:row>
          <xdr:rowOff>9525</xdr:rowOff>
        </xdr:to>
        <xdr:sp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0020935" y="6191250"/>
              <a:ext cx="908050" cy="266700"/>
            </a:xfrm>
            <a:prstGeom prst="rect">
              <a:avLst/>
            </a:prstGeom>
          </xdr:spPr>
          <xdr:txBody>
            <a:bodyPr vert="horz" wrap="square" anchor="ctr" upright="1"/>
            <a:p>
              <a:pPr algn="l" rtl="0"/>
              <a:r>
                <a:rPr lang="zh-CN" altLang="en-US" sz="9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人民币（RMB）</a:t>
              </a:r>
              <a:endParaRPr lang="zh-CN" altLang="en-US" sz="9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171450</xdr:colOff>
          <xdr:row>32</xdr:row>
          <xdr:rowOff>142875</xdr:rowOff>
        </xdr:from>
        <xdr:to>
          <xdr:col>2</xdr:col>
          <xdr:colOff>352425</xdr:colOff>
          <xdr:row>33</xdr:row>
          <xdr:rowOff>161925</xdr:rowOff>
        </xdr:to>
        <xdr:sp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856105" y="7153275"/>
              <a:ext cx="180975" cy="2000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171450</xdr:colOff>
          <xdr:row>34</xdr:row>
          <xdr:rowOff>95250</xdr:rowOff>
        </xdr:from>
        <xdr:to>
          <xdr:col>2</xdr:col>
          <xdr:colOff>352425</xdr:colOff>
          <xdr:row>36</xdr:row>
          <xdr:rowOff>0</xdr:rowOff>
        </xdr:to>
        <xdr:sp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856105" y="7467600"/>
              <a:ext cx="180975" cy="26670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32</xdr:row>
          <xdr:rowOff>133350</xdr:rowOff>
        </xdr:from>
        <xdr:to>
          <xdr:col>3</xdr:col>
          <xdr:colOff>866775</xdr:colOff>
          <xdr:row>33</xdr:row>
          <xdr:rowOff>152400</xdr:rowOff>
        </xdr:to>
        <xdr:sp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3945255" y="7143750"/>
              <a:ext cx="180975" cy="2000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695325</xdr:colOff>
          <xdr:row>34</xdr:row>
          <xdr:rowOff>114300</xdr:rowOff>
        </xdr:from>
        <xdr:to>
          <xdr:col>3</xdr:col>
          <xdr:colOff>876300</xdr:colOff>
          <xdr:row>36</xdr:row>
          <xdr:rowOff>0</xdr:rowOff>
        </xdr:to>
        <xdr:sp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3954780" y="7486650"/>
              <a:ext cx="180975" cy="2476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161925</xdr:colOff>
          <xdr:row>32</xdr:row>
          <xdr:rowOff>133350</xdr:rowOff>
        </xdr:from>
        <xdr:to>
          <xdr:col>7</xdr:col>
          <xdr:colOff>342900</xdr:colOff>
          <xdr:row>33</xdr:row>
          <xdr:rowOff>152400</xdr:rowOff>
        </xdr:to>
        <xdr:sp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7061200" y="7143750"/>
              <a:ext cx="180975" cy="2000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161925</xdr:colOff>
          <xdr:row>34</xdr:row>
          <xdr:rowOff>152400</xdr:rowOff>
        </xdr:from>
        <xdr:to>
          <xdr:col>7</xdr:col>
          <xdr:colOff>342900</xdr:colOff>
          <xdr:row>36</xdr:row>
          <xdr:rowOff>0</xdr:rowOff>
        </xdr:to>
        <xdr:sp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7061200" y="7524750"/>
              <a:ext cx="180975" cy="20955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161925</xdr:colOff>
          <xdr:row>32</xdr:row>
          <xdr:rowOff>123825</xdr:rowOff>
        </xdr:from>
        <xdr:to>
          <xdr:col>9</xdr:col>
          <xdr:colOff>342900</xdr:colOff>
          <xdr:row>33</xdr:row>
          <xdr:rowOff>142875</xdr:rowOff>
        </xdr:to>
        <xdr:sp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8855710" y="7134225"/>
              <a:ext cx="180975" cy="2000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161925</xdr:colOff>
          <xdr:row>34</xdr:row>
          <xdr:rowOff>142875</xdr:rowOff>
        </xdr:from>
        <xdr:to>
          <xdr:col>9</xdr:col>
          <xdr:colOff>342900</xdr:colOff>
          <xdr:row>36</xdr:row>
          <xdr:rowOff>0</xdr:rowOff>
        </xdr:to>
        <xdr:sp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8855710" y="7515225"/>
              <a:ext cx="180975" cy="21907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400050</xdr:colOff>
          <xdr:row>38</xdr:row>
          <xdr:rowOff>123825</xdr:rowOff>
        </xdr:from>
        <xdr:to>
          <xdr:col>2</xdr:col>
          <xdr:colOff>581025</xdr:colOff>
          <xdr:row>39</xdr:row>
          <xdr:rowOff>66675</xdr:rowOff>
        </xdr:to>
        <xdr:sp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2084705" y="8115300"/>
              <a:ext cx="180975" cy="2000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38</xdr:row>
          <xdr:rowOff>123825</xdr:rowOff>
        </xdr:from>
        <xdr:to>
          <xdr:col>3</xdr:col>
          <xdr:colOff>323850</xdr:colOff>
          <xdr:row>39</xdr:row>
          <xdr:rowOff>66675</xdr:rowOff>
        </xdr:to>
        <xdr:sp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3402330" y="8115300"/>
              <a:ext cx="180975" cy="2000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38</xdr:row>
          <xdr:rowOff>123825</xdr:rowOff>
        </xdr:from>
        <xdr:to>
          <xdr:col>4</xdr:col>
          <xdr:colOff>409575</xdr:colOff>
          <xdr:row>39</xdr:row>
          <xdr:rowOff>66675</xdr:rowOff>
        </xdr:to>
        <xdr:sp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4859655" y="8115300"/>
              <a:ext cx="180975" cy="2000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38</xdr:row>
          <xdr:rowOff>123825</xdr:rowOff>
        </xdr:from>
        <xdr:to>
          <xdr:col>6</xdr:col>
          <xdr:colOff>409575</xdr:colOff>
          <xdr:row>39</xdr:row>
          <xdr:rowOff>66675</xdr:rowOff>
        </xdr:to>
        <xdr:sp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6374765" y="8115300"/>
              <a:ext cx="180975" cy="2000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819150</xdr:colOff>
          <xdr:row>38</xdr:row>
          <xdr:rowOff>114300</xdr:rowOff>
        </xdr:from>
        <xdr:to>
          <xdr:col>8</xdr:col>
          <xdr:colOff>104775</xdr:colOff>
          <xdr:row>39</xdr:row>
          <xdr:rowOff>57150</xdr:rowOff>
        </xdr:to>
        <xdr:sp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7718425" y="8105775"/>
              <a:ext cx="182880" cy="2000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400050</xdr:colOff>
          <xdr:row>39</xdr:row>
          <xdr:rowOff>142875</xdr:rowOff>
        </xdr:from>
        <xdr:to>
          <xdr:col>2</xdr:col>
          <xdr:colOff>581025</xdr:colOff>
          <xdr:row>40</xdr:row>
          <xdr:rowOff>76200</xdr:rowOff>
        </xdr:to>
        <xdr:sp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2084705" y="8391525"/>
              <a:ext cx="180975" cy="2000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39</xdr:row>
          <xdr:rowOff>142875</xdr:rowOff>
        </xdr:from>
        <xdr:to>
          <xdr:col>3</xdr:col>
          <xdr:colOff>323850</xdr:colOff>
          <xdr:row>40</xdr:row>
          <xdr:rowOff>76200</xdr:rowOff>
        </xdr:to>
        <xdr:sp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3402330" y="8391525"/>
              <a:ext cx="180975" cy="200025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0" Type="http://schemas.openxmlformats.org/officeDocument/2006/relationships/hyperlink" Target="mailto:Huber.Hu@arrow.com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mailto:zhou@hongbangtech.com" TargetMode="External"/><Relationship Id="rId18" Type="http://schemas.openxmlformats.org/officeDocument/2006/relationships/ctrlProp" Target="../ctrlProps/ctrlProp16.xml"/><Relationship Id="rId17" Type="http://schemas.openxmlformats.org/officeDocument/2006/relationships/ctrlProp" Target="../ctrlProps/ctrlProp15.xml"/><Relationship Id="rId16" Type="http://schemas.openxmlformats.org/officeDocument/2006/relationships/ctrlProp" Target="../ctrlProps/ctrlProp14.xml"/><Relationship Id="rId15" Type="http://schemas.openxmlformats.org/officeDocument/2006/relationships/ctrlProp" Target="../ctrlProps/ctrlProp13.xml"/><Relationship Id="rId14" Type="http://schemas.openxmlformats.org/officeDocument/2006/relationships/ctrlProp" Target="../ctrlProps/ctrlProp12.xml"/><Relationship Id="rId13" Type="http://schemas.openxmlformats.org/officeDocument/2006/relationships/ctrlProp" Target="../ctrlProps/ctrlProp1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R63"/>
  <sheetViews>
    <sheetView showGridLines="0" tabSelected="1" workbookViewId="0">
      <selection activeCell="D62" sqref="D62"/>
    </sheetView>
  </sheetViews>
  <sheetFormatPr defaultColWidth="9" defaultRowHeight="14.25"/>
  <cols>
    <col min="2" max="2" width="13.1083333333333" customWidth="1"/>
    <col min="3" max="3" width="20.6666666666667" customWidth="1"/>
    <col min="4" max="4" width="18" customWidth="1"/>
    <col min="5" max="5" width="10" customWidth="1"/>
    <col min="6" max="7" width="9.88333333333333" customWidth="1"/>
    <col min="8" max="9" width="11.775" customWidth="1"/>
    <col min="10" max="11" width="14.6666666666667" customWidth="1"/>
    <col min="15" max="15" width="8.775" customWidth="1"/>
    <col min="16" max="16" width="3.21666666666667" customWidth="1"/>
    <col min="17" max="17" width="24.8833333333333" hidden="1" customWidth="1"/>
    <col min="18" max="18" width="15.6666666666667" hidden="1" customWidth="1"/>
  </cols>
  <sheetData>
    <row r="1" spans="2:12"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</row>
    <row r="2" spans="2:12"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2:12"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2:12"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2:12"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ht="24.75" customHeight="1" spans="10:18">
      <c r="J6" s="6" t="s">
        <v>1</v>
      </c>
      <c r="Q6" s="103" t="s">
        <v>2</v>
      </c>
      <c r="R6" s="103" t="s">
        <v>2</v>
      </c>
    </row>
    <row r="7" ht="23.25" customHeight="1" spans="2:18">
      <c r="B7" s="8" t="s">
        <v>3</v>
      </c>
      <c r="C7" s="9" t="s">
        <v>4</v>
      </c>
      <c r="D7" s="10"/>
      <c r="E7" s="11" t="s">
        <v>5</v>
      </c>
      <c r="F7" s="11"/>
      <c r="G7" s="10"/>
      <c r="H7" s="12"/>
      <c r="I7" s="10"/>
      <c r="J7" s="11" t="s">
        <v>6</v>
      </c>
      <c r="K7" s="78">
        <v>46079</v>
      </c>
      <c r="L7" s="79"/>
      <c r="Q7" s="104" t="s">
        <v>7</v>
      </c>
      <c r="R7" s="103" t="s">
        <v>8</v>
      </c>
    </row>
    <row r="8" ht="6" customHeight="1" spans="2:18">
      <c r="B8" s="13"/>
      <c r="C8" s="14"/>
      <c r="D8" s="14"/>
      <c r="E8" s="14"/>
      <c r="F8" s="14"/>
      <c r="G8" s="14"/>
      <c r="H8" s="15"/>
      <c r="I8" s="14"/>
      <c r="J8" s="14"/>
      <c r="K8" s="14"/>
      <c r="L8" s="80"/>
      <c r="Q8" s="104" t="s">
        <v>9</v>
      </c>
      <c r="R8" s="103" t="s">
        <v>10</v>
      </c>
    </row>
    <row r="9" ht="21.75" customHeight="1" spans="2:18">
      <c r="B9" s="16" t="s">
        <v>11</v>
      </c>
      <c r="C9" s="9" t="s">
        <v>12</v>
      </c>
      <c r="D9" s="17" t="s">
        <v>13</v>
      </c>
      <c r="E9" s="17"/>
      <c r="F9" s="18"/>
      <c r="G9" s="19" t="s">
        <v>14</v>
      </c>
      <c r="H9" s="11" t="s">
        <v>12</v>
      </c>
      <c r="I9" s="17" t="s">
        <v>15</v>
      </c>
      <c r="J9" s="17"/>
      <c r="K9" s="17"/>
      <c r="L9" s="18"/>
      <c r="Q9" s="105" t="s">
        <v>16</v>
      </c>
      <c r="R9" s="103" t="s">
        <v>17</v>
      </c>
    </row>
    <row r="10" ht="21.75" customHeight="1" spans="2:18">
      <c r="B10" s="20"/>
      <c r="C10" s="21" t="s">
        <v>18</v>
      </c>
      <c r="D10" s="22" t="s">
        <v>19</v>
      </c>
      <c r="E10" s="22"/>
      <c r="F10" s="23"/>
      <c r="G10" s="24"/>
      <c r="H10" s="25" t="s">
        <v>18</v>
      </c>
      <c r="I10" s="22" t="s">
        <v>20</v>
      </c>
      <c r="J10" s="22"/>
      <c r="K10" s="22"/>
      <c r="L10" s="23"/>
      <c r="Q10" s="106" t="s">
        <v>21</v>
      </c>
      <c r="R10" s="103" t="s">
        <v>22</v>
      </c>
    </row>
    <row r="11" ht="21.75" customHeight="1" spans="2:18">
      <c r="B11" s="20"/>
      <c r="C11" s="26"/>
      <c r="D11" s="27"/>
      <c r="E11" s="27"/>
      <c r="F11" s="28"/>
      <c r="G11" s="24"/>
      <c r="H11" s="25"/>
      <c r="I11" s="27"/>
      <c r="J11" s="27"/>
      <c r="K11" s="27"/>
      <c r="L11" s="28"/>
      <c r="Q11" s="107" t="s">
        <v>23</v>
      </c>
      <c r="R11" s="103" t="s">
        <v>24</v>
      </c>
    </row>
    <row r="12" ht="21.75" customHeight="1" spans="2:18">
      <c r="B12" s="20"/>
      <c r="C12" s="21" t="s">
        <v>25</v>
      </c>
      <c r="D12" s="29" t="s">
        <v>26</v>
      </c>
      <c r="E12" s="30"/>
      <c r="F12" s="31"/>
      <c r="G12" s="24"/>
      <c r="H12" s="25" t="s">
        <v>25</v>
      </c>
      <c r="I12" s="81" t="s">
        <v>27</v>
      </c>
      <c r="J12" s="82"/>
      <c r="K12" s="82"/>
      <c r="L12" s="83"/>
      <c r="Q12" s="108" t="s">
        <v>28</v>
      </c>
      <c r="R12" s="103" t="s">
        <v>29</v>
      </c>
    </row>
    <row r="13" ht="21.75" customHeight="1" spans="2:18">
      <c r="B13" s="20"/>
      <c r="C13" s="21" t="s">
        <v>30</v>
      </c>
      <c r="D13" s="30">
        <v>18395859466</v>
      </c>
      <c r="E13" s="29"/>
      <c r="F13" s="31"/>
      <c r="G13" s="24"/>
      <c r="H13" s="25" t="s">
        <v>30</v>
      </c>
      <c r="I13" s="84">
        <v>13957570881</v>
      </c>
      <c r="J13" s="84"/>
      <c r="K13" s="84"/>
      <c r="L13" s="85"/>
      <c r="Q13" s="107" t="s">
        <v>31</v>
      </c>
      <c r="R13" s="103" t="s">
        <v>32</v>
      </c>
    </row>
    <row r="14" ht="21.75" customHeight="1" spans="2:18">
      <c r="B14" s="20"/>
      <c r="C14" s="21" t="s">
        <v>33</v>
      </c>
      <c r="D14" s="32" t="s">
        <v>34</v>
      </c>
      <c r="E14" s="30"/>
      <c r="F14" s="33"/>
      <c r="G14" s="24"/>
      <c r="H14" s="25" t="s">
        <v>33</v>
      </c>
      <c r="I14" s="86" t="s">
        <v>35</v>
      </c>
      <c r="J14" s="84"/>
      <c r="K14" s="84"/>
      <c r="L14" s="85"/>
      <c r="Q14" s="107" t="s">
        <v>36</v>
      </c>
      <c r="R14" s="103" t="s">
        <v>37</v>
      </c>
    </row>
    <row r="15" ht="7.5" customHeight="1" spans="2:18">
      <c r="B15" s="34"/>
      <c r="C15" s="35"/>
      <c r="D15" s="15"/>
      <c r="E15" s="15"/>
      <c r="F15" s="36"/>
      <c r="G15" s="37"/>
      <c r="H15" s="14"/>
      <c r="I15" s="14"/>
      <c r="J15" s="14"/>
      <c r="K15" s="14"/>
      <c r="L15" s="80"/>
      <c r="Q15" s="104" t="s">
        <v>38</v>
      </c>
      <c r="R15" s="103"/>
    </row>
    <row r="16" ht="45" spans="2:18"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Q16" s="104" t="s">
        <v>13</v>
      </c>
      <c r="R16" s="103" t="s">
        <v>39</v>
      </c>
    </row>
    <row r="17" ht="15" spans="2:12">
      <c r="B17" s="39" t="s">
        <v>40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ht="29.25" customHeight="1" spans="2:12">
      <c r="B18" s="40" t="s">
        <v>41</v>
      </c>
      <c r="C18" s="41" t="s">
        <v>42</v>
      </c>
      <c r="D18" s="41" t="s">
        <v>43</v>
      </c>
      <c r="E18" s="41" t="s">
        <v>44</v>
      </c>
      <c r="F18" s="42" t="s">
        <v>45</v>
      </c>
      <c r="G18" s="43" t="s">
        <v>46</v>
      </c>
      <c r="H18" s="42" t="s">
        <v>47</v>
      </c>
      <c r="I18" s="42" t="s">
        <v>48</v>
      </c>
      <c r="J18" s="42" t="s">
        <v>49</v>
      </c>
      <c r="K18" s="87" t="s">
        <v>50</v>
      </c>
      <c r="L18" s="88" t="s">
        <v>51</v>
      </c>
    </row>
    <row r="19" spans="2:12">
      <c r="B19" s="44" t="s">
        <v>52</v>
      </c>
      <c r="C19" s="45" t="s">
        <v>53</v>
      </c>
      <c r="D19" s="45"/>
      <c r="E19" s="46">
        <v>200</v>
      </c>
      <c r="F19" s="47"/>
      <c r="G19" s="47"/>
      <c r="H19" s="48"/>
      <c r="I19" s="89">
        <v>38.42</v>
      </c>
      <c r="J19" s="89">
        <f t="shared" ref="J19" si="0">I19*E19</f>
        <v>7684</v>
      </c>
      <c r="K19" s="90" t="s">
        <v>54</v>
      </c>
      <c r="L19" s="91"/>
    </row>
    <row r="20" spans="2:12">
      <c r="B20" s="44"/>
      <c r="C20" s="45"/>
      <c r="D20" s="45"/>
      <c r="E20" s="46"/>
      <c r="F20" s="47"/>
      <c r="G20" s="47"/>
      <c r="H20" s="48"/>
      <c r="I20" s="89"/>
      <c r="J20" s="89"/>
      <c r="K20" s="92"/>
      <c r="L20" s="91"/>
    </row>
    <row r="21" spans="2:12">
      <c r="B21" s="44"/>
      <c r="C21" s="45"/>
      <c r="D21" s="45"/>
      <c r="E21" s="46"/>
      <c r="F21" s="47"/>
      <c r="G21" s="47"/>
      <c r="H21" s="48"/>
      <c r="I21" s="89"/>
      <c r="J21" s="89"/>
      <c r="K21" s="92"/>
      <c r="L21" s="91"/>
    </row>
    <row r="22" spans="2:12">
      <c r="B22" s="44"/>
      <c r="C22" s="45"/>
      <c r="D22" s="45"/>
      <c r="E22" s="46"/>
      <c r="F22" s="47"/>
      <c r="G22" s="47"/>
      <c r="H22" s="48"/>
      <c r="I22" s="89"/>
      <c r="J22" s="89"/>
      <c r="K22" s="92"/>
      <c r="L22" s="91"/>
    </row>
    <row r="23" spans="2:12">
      <c r="B23" s="44"/>
      <c r="C23" s="45"/>
      <c r="D23" s="45"/>
      <c r="E23" s="46"/>
      <c r="F23" s="47"/>
      <c r="G23" s="47"/>
      <c r="H23" s="48"/>
      <c r="I23" s="89"/>
      <c r="J23" s="89"/>
      <c r="K23" s="92"/>
      <c r="L23" s="91"/>
    </row>
    <row r="24" spans="2:12">
      <c r="B24" s="44"/>
      <c r="C24" s="45"/>
      <c r="D24" s="45"/>
      <c r="E24" s="46"/>
      <c r="F24" s="47"/>
      <c r="G24" s="47"/>
      <c r="H24" s="48"/>
      <c r="I24" s="89"/>
      <c r="J24" s="89"/>
      <c r="K24" s="92"/>
      <c r="L24" s="91"/>
    </row>
    <row r="25" spans="2:12">
      <c r="B25" s="44"/>
      <c r="C25" s="45"/>
      <c r="D25" s="45"/>
      <c r="E25" s="46"/>
      <c r="F25" s="47"/>
      <c r="G25" s="47"/>
      <c r="H25" s="48"/>
      <c r="I25" s="89"/>
      <c r="J25" s="89"/>
      <c r="K25" s="92"/>
      <c r="L25" s="91"/>
    </row>
    <row r="26" spans="2:12">
      <c r="B26" s="44"/>
      <c r="C26" s="45"/>
      <c r="D26" s="45"/>
      <c r="E26" s="46"/>
      <c r="F26" s="47"/>
      <c r="G26" s="47"/>
      <c r="H26" s="48"/>
      <c r="J26" s="89"/>
      <c r="K26" s="92"/>
      <c r="L26" s="91"/>
    </row>
    <row r="27" ht="15" spans="2:12">
      <c r="B27" s="44"/>
      <c r="C27" s="45"/>
      <c r="D27" s="45"/>
      <c r="E27" s="46"/>
      <c r="F27" s="47"/>
      <c r="G27" s="47"/>
      <c r="H27" s="48"/>
      <c r="I27" s="89"/>
      <c r="J27" s="89"/>
      <c r="K27" s="92"/>
      <c r="L27" s="91"/>
    </row>
    <row r="28" s="6" customFormat="1" ht="26.25" customHeight="1" spans="2:12">
      <c r="B28" s="49"/>
      <c r="C28" s="50"/>
      <c r="D28" s="50"/>
      <c r="E28" s="50"/>
      <c r="F28" s="50"/>
      <c r="G28" s="50"/>
      <c r="H28" s="50"/>
      <c r="I28" s="93" t="s">
        <v>55</v>
      </c>
      <c r="J28" s="94">
        <f>SUM(J19:J27)</f>
        <v>7684</v>
      </c>
      <c r="K28" s="50"/>
      <c r="L28" s="95"/>
    </row>
    <row r="29" s="6" customFormat="1" ht="5.25" customHeight="1" spans="2:12">
      <c r="B29" s="50"/>
      <c r="C29" s="11"/>
      <c r="D29" s="11"/>
      <c r="E29" s="11"/>
      <c r="F29" s="11"/>
      <c r="G29" s="11"/>
      <c r="H29" s="11"/>
      <c r="I29" s="96"/>
      <c r="J29" s="97"/>
      <c r="K29" s="11"/>
      <c r="L29" s="11"/>
    </row>
    <row r="30" ht="18.75" customHeight="1" spans="2:12">
      <c r="B30" s="51" t="s">
        <v>56</v>
      </c>
      <c r="C30" s="52"/>
      <c r="D30" s="52"/>
      <c r="E30" s="52"/>
      <c r="F30" s="52"/>
      <c r="G30" s="52"/>
      <c r="H30" s="52"/>
      <c r="I30" s="52"/>
      <c r="J30" s="52"/>
      <c r="K30" s="52"/>
      <c r="L30" s="98"/>
    </row>
    <row r="31" ht="15" spans="2:12">
      <c r="B31" s="53"/>
      <c r="C31" s="54"/>
      <c r="D31" s="54"/>
      <c r="E31" s="54"/>
      <c r="F31" s="54"/>
      <c r="G31" s="54"/>
      <c r="H31" s="54"/>
      <c r="I31" s="54"/>
      <c r="J31" s="54"/>
      <c r="K31" s="54"/>
      <c r="L31" s="99"/>
    </row>
    <row r="32" ht="5.25" customHeight="1" spans="2:12">
      <c r="B32" s="55"/>
      <c r="C32" s="56"/>
      <c r="D32" s="56"/>
      <c r="E32" s="56"/>
      <c r="F32" s="56"/>
      <c r="G32" s="56"/>
      <c r="H32" s="56"/>
      <c r="I32" s="56"/>
      <c r="J32" s="56"/>
      <c r="K32" s="56"/>
      <c r="L32" s="55"/>
    </row>
    <row r="33" spans="2:12">
      <c r="B33" s="57" t="s">
        <v>57</v>
      </c>
      <c r="C33" s="58"/>
      <c r="D33" s="58"/>
      <c r="E33" s="58"/>
      <c r="F33" s="59"/>
      <c r="G33" s="57" t="s">
        <v>58</v>
      </c>
      <c r="H33" s="58"/>
      <c r="I33" s="58"/>
      <c r="J33" s="58"/>
      <c r="K33" s="58"/>
      <c r="L33" s="59"/>
    </row>
    <row r="34" spans="2:12">
      <c r="B34" s="20"/>
      <c r="C34" s="60"/>
      <c r="D34" s="60"/>
      <c r="E34" s="60"/>
      <c r="F34" s="61"/>
      <c r="G34" s="20"/>
      <c r="H34" s="62"/>
      <c r="I34" s="62"/>
      <c r="J34" s="62"/>
      <c r="K34" s="62"/>
      <c r="L34" s="61"/>
    </row>
    <row r="35" spans="2:12">
      <c r="B35" s="20"/>
      <c r="C35" s="60"/>
      <c r="D35" s="60"/>
      <c r="E35" s="60"/>
      <c r="F35" s="61"/>
      <c r="G35" s="20"/>
      <c r="H35" s="62"/>
      <c r="I35" s="62"/>
      <c r="J35" s="62"/>
      <c r="K35" s="62"/>
      <c r="L35" s="61"/>
    </row>
    <row r="36" spans="2:12">
      <c r="B36" s="20"/>
      <c r="C36" s="60"/>
      <c r="D36" s="60"/>
      <c r="E36" s="60"/>
      <c r="F36" s="61"/>
      <c r="G36" s="20"/>
      <c r="H36" s="62"/>
      <c r="I36" s="62"/>
      <c r="J36" s="62"/>
      <c r="K36" s="62"/>
      <c r="L36" s="61"/>
    </row>
    <row r="37" ht="15" spans="2:12">
      <c r="B37" s="34"/>
      <c r="C37" s="63"/>
      <c r="D37" s="63"/>
      <c r="E37" s="63"/>
      <c r="F37" s="64"/>
      <c r="G37" s="34"/>
      <c r="H37" s="63"/>
      <c r="I37" s="63"/>
      <c r="J37" s="63"/>
      <c r="K37" s="63"/>
      <c r="L37" s="64"/>
    </row>
    <row r="38" ht="5.25" customHeight="1" spans="2:12"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</row>
    <row r="39" ht="20.25" customHeight="1" spans="2:12">
      <c r="B39" s="65"/>
      <c r="C39" s="66"/>
      <c r="D39" s="66"/>
      <c r="E39" s="66"/>
      <c r="F39" s="66"/>
      <c r="G39" s="66"/>
      <c r="H39" s="66"/>
      <c r="I39" s="66"/>
      <c r="J39" s="66"/>
      <c r="K39" s="66"/>
      <c r="L39" s="100"/>
    </row>
    <row r="40" ht="21" customHeight="1" spans="2:12">
      <c r="B40" s="67" t="s">
        <v>59</v>
      </c>
      <c r="C40" s="68"/>
      <c r="D40" s="68"/>
      <c r="E40" s="68"/>
      <c r="F40" s="68"/>
      <c r="G40" s="68"/>
      <c r="H40" s="68"/>
      <c r="I40" s="68"/>
      <c r="J40" s="68"/>
      <c r="K40" s="68"/>
      <c r="L40" s="101"/>
    </row>
    <row r="41" spans="2:12">
      <c r="B41" s="67"/>
      <c r="C41" s="68"/>
      <c r="D41" s="68"/>
      <c r="E41" s="68"/>
      <c r="F41" s="68"/>
      <c r="G41" s="68"/>
      <c r="H41" s="68"/>
      <c r="I41" s="68"/>
      <c r="J41" s="68"/>
      <c r="K41" s="68"/>
      <c r="L41" s="101"/>
    </row>
    <row r="42" spans="2:12">
      <c r="B42" s="67" t="s">
        <v>60</v>
      </c>
      <c r="C42" s="69" t="s">
        <v>20</v>
      </c>
      <c r="D42" s="69"/>
      <c r="E42" s="69"/>
      <c r="F42" s="69"/>
      <c r="G42" s="69"/>
      <c r="H42" s="69"/>
      <c r="I42" s="69"/>
      <c r="J42" s="69"/>
      <c r="K42" s="69"/>
      <c r="L42" s="101"/>
    </row>
    <row r="43" ht="15" spans="2:12">
      <c r="B43" s="70"/>
      <c r="C43" s="71"/>
      <c r="D43" s="71"/>
      <c r="E43" s="71"/>
      <c r="F43" s="71"/>
      <c r="G43" s="71"/>
      <c r="H43" s="71"/>
      <c r="I43" s="71"/>
      <c r="J43" s="71"/>
      <c r="K43" s="71"/>
      <c r="L43" s="102"/>
    </row>
    <row r="44" spans="2:12"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</row>
    <row r="45" customHeight="1" spans="2:12">
      <c r="B45" s="72" t="s">
        <v>61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</row>
    <row r="46" spans="2:12"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</row>
    <row r="47" spans="2:12"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</row>
    <row r="48" spans="2:12"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</row>
    <row r="49" spans="2:12"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</row>
    <row r="50" spans="2:12"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</row>
    <row r="51" spans="2:12"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</row>
    <row r="52" spans="2:12"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</row>
    <row r="53" spans="2:12"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</row>
    <row r="54" spans="2:12"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</row>
    <row r="55" spans="2:12"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</row>
    <row r="56" ht="31.5" customHeight="1" spans="2:12"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</row>
    <row r="57" ht="87.75" customHeight="1" spans="2:12"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</row>
    <row r="58" ht="28.5" customHeight="1" spans="2:12">
      <c r="B58" s="25" t="s">
        <v>62</v>
      </c>
      <c r="C58" s="38"/>
      <c r="D58" s="38"/>
      <c r="E58" s="38"/>
      <c r="F58" s="38"/>
      <c r="G58" s="74" t="s">
        <v>63</v>
      </c>
      <c r="H58" s="25"/>
      <c r="I58" s="38"/>
      <c r="J58" s="38"/>
      <c r="K58" s="38"/>
      <c r="L58" s="38"/>
    </row>
    <row r="59" ht="10.5" customHeight="1" spans="2:12">
      <c r="B59" s="38"/>
      <c r="C59" s="75"/>
      <c r="D59" s="75"/>
      <c r="E59" s="75"/>
      <c r="F59" s="38"/>
      <c r="G59" s="38"/>
      <c r="H59" s="75"/>
      <c r="I59" s="75"/>
      <c r="J59" s="75"/>
      <c r="K59" s="75"/>
      <c r="L59" s="75"/>
    </row>
    <row r="60" ht="31.5" customHeight="1" spans="2:12">
      <c r="B60" s="76" t="s">
        <v>64</v>
      </c>
      <c r="C60" s="77"/>
      <c r="D60" s="77"/>
      <c r="E60" s="77"/>
      <c r="F60" s="38"/>
      <c r="G60" s="76" t="s">
        <v>65</v>
      </c>
      <c r="H60" s="77"/>
      <c r="I60" s="77"/>
      <c r="J60" s="77"/>
      <c r="K60" s="77"/>
      <c r="L60" s="77"/>
    </row>
    <row r="61" ht="30.75" customHeight="1" spans="2:12">
      <c r="B61" s="38" t="s">
        <v>66</v>
      </c>
      <c r="C61" s="77" t="s">
        <v>67</v>
      </c>
      <c r="D61" s="77"/>
      <c r="E61" s="77"/>
      <c r="F61" s="38"/>
      <c r="G61" s="38" t="s">
        <v>66</v>
      </c>
      <c r="H61" s="77" t="s">
        <v>27</v>
      </c>
      <c r="I61" s="77"/>
      <c r="J61" s="77"/>
      <c r="K61" s="77"/>
      <c r="L61" s="77"/>
    </row>
    <row r="62" ht="30.75" customHeight="1" spans="2:12">
      <c r="B62" s="38" t="s">
        <v>68</v>
      </c>
      <c r="C62" s="77" t="s">
        <v>69</v>
      </c>
      <c r="D62" s="77"/>
      <c r="E62" s="77"/>
      <c r="F62" s="38"/>
      <c r="G62" s="38" t="s">
        <v>68</v>
      </c>
      <c r="H62" s="77" t="s">
        <v>70</v>
      </c>
      <c r="I62" s="77"/>
      <c r="J62" s="77"/>
      <c r="K62" s="77"/>
      <c r="L62" s="77"/>
    </row>
    <row r="63" ht="18.75" customHeight="1"/>
  </sheetData>
  <mergeCells count="17">
    <mergeCell ref="D9:F9"/>
    <mergeCell ref="I9:L9"/>
    <mergeCell ref="I13:L13"/>
    <mergeCell ref="I14:L14"/>
    <mergeCell ref="B17:L17"/>
    <mergeCell ref="C42:K42"/>
    <mergeCell ref="B57:L57"/>
    <mergeCell ref="B9:B15"/>
    <mergeCell ref="B33:B37"/>
    <mergeCell ref="G9:G15"/>
    <mergeCell ref="G33:G37"/>
    <mergeCell ref="B1:L5"/>
    <mergeCell ref="D10:F11"/>
    <mergeCell ref="H33:L37"/>
    <mergeCell ref="I10:L11"/>
    <mergeCell ref="C33:F37"/>
    <mergeCell ref="B30:L31"/>
  </mergeCells>
  <dataValidations count="2">
    <dataValidation type="list" allowBlank="1" showInputMessage="1" showErrorMessage="1" sqref="D9:F9">
      <formula1>$Q$6:$Q$16</formula1>
    </dataValidation>
    <dataValidation type="list" allowBlank="1" showInputMessage="1" showErrorMessage="1" sqref="D10:F11">
      <formula1>$R$6:$R$16</formula1>
    </dataValidation>
  </dataValidations>
  <hyperlinks>
    <hyperlink ref="I14" r:id="rId19" display="zhou@hongbangtech.com"/>
    <hyperlink ref="D14" r:id="rId20" display="Huber.Hu@arrow.com"/>
  </hyperlinks>
  <pageMargins left="0.708661417322835" right="0.708661417322835" top="0.748031496062992" bottom="0.748031496062992" header="0.31496062992126" footer="0.31496062992126"/>
  <pageSetup paperSize="9" scale="62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Check Box 1" r:id="rId3">
              <controlPr defaultSize="0">
                <anchor moveWithCells="1">
                  <from>
                    <xdr:col>10</xdr:col>
                    <xdr:colOff>209550</xdr:colOff>
                    <xdr:row>27</xdr:row>
                    <xdr:rowOff>76200</xdr:rowOff>
                  </from>
                  <to>
                    <xdr:col>11</xdr:col>
                    <xdr:colOff>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Check Box 2" r:id="rId4">
              <controlPr defaultSize="0">
                <anchor moveWithCells="1">
                  <from>
                    <xdr:col>2</xdr:col>
                    <xdr:colOff>171450</xdr:colOff>
                    <xdr:row>32</xdr:row>
                    <xdr:rowOff>142875</xdr:rowOff>
                  </from>
                  <to>
                    <xdr:col>2</xdr:col>
                    <xdr:colOff>352425</xdr:colOff>
                    <xdr:row>33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name="Check Box 3" r:id="rId5">
              <controlPr defaultSize="0">
                <anchor moveWithCells="1">
                  <from>
                    <xdr:col>2</xdr:col>
                    <xdr:colOff>171450</xdr:colOff>
                    <xdr:row>34</xdr:row>
                    <xdr:rowOff>95250</xdr:rowOff>
                  </from>
                  <to>
                    <xdr:col>2</xdr:col>
                    <xdr:colOff>352425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name="Check Box 4" r:id="rId6">
              <controlPr defaultSize="0">
                <anchor moveWithCells="1">
                  <from>
                    <xdr:col>3</xdr:col>
                    <xdr:colOff>685800</xdr:colOff>
                    <xdr:row>32</xdr:row>
                    <xdr:rowOff>133350</xdr:rowOff>
                  </from>
                  <to>
                    <xdr:col>3</xdr:col>
                    <xdr:colOff>866775</xdr:colOff>
                    <xdr:row>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name="Check Box 5" r:id="rId7">
              <controlPr defaultSize="0">
                <anchor moveWithCells="1">
                  <from>
                    <xdr:col>3</xdr:col>
                    <xdr:colOff>695325</xdr:colOff>
                    <xdr:row>34</xdr:row>
                    <xdr:rowOff>114300</xdr:rowOff>
                  </from>
                  <to>
                    <xdr:col>3</xdr:col>
                    <xdr:colOff>876300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name="Check Box 6" r:id="rId8">
              <controlPr defaultSize="0">
                <anchor moveWithCells="1">
                  <from>
                    <xdr:col>7</xdr:col>
                    <xdr:colOff>161925</xdr:colOff>
                    <xdr:row>32</xdr:row>
                    <xdr:rowOff>133350</xdr:rowOff>
                  </from>
                  <to>
                    <xdr:col>7</xdr:col>
                    <xdr:colOff>342900</xdr:colOff>
                    <xdr:row>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name="Check Box 7" r:id="rId9">
              <controlPr defaultSize="0">
                <anchor moveWithCells="1">
                  <from>
                    <xdr:col>7</xdr:col>
                    <xdr:colOff>161925</xdr:colOff>
                    <xdr:row>34</xdr:row>
                    <xdr:rowOff>152400</xdr:rowOff>
                  </from>
                  <to>
                    <xdr:col>7</xdr:col>
                    <xdr:colOff>342900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name="Check Box 8" r:id="rId10">
              <controlPr defaultSize="0">
                <anchor moveWithCells="1">
                  <from>
                    <xdr:col>9</xdr:col>
                    <xdr:colOff>161925</xdr:colOff>
                    <xdr:row>32</xdr:row>
                    <xdr:rowOff>123825</xdr:rowOff>
                  </from>
                  <to>
                    <xdr:col>9</xdr:col>
                    <xdr:colOff>342900</xdr:colOff>
                    <xdr:row>33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name="Check Box 9" r:id="rId11">
              <controlPr defaultSize="0">
                <anchor moveWithCells="1">
                  <from>
                    <xdr:col>9</xdr:col>
                    <xdr:colOff>161925</xdr:colOff>
                    <xdr:row>34</xdr:row>
                    <xdr:rowOff>142875</xdr:rowOff>
                  </from>
                  <to>
                    <xdr:col>9</xdr:col>
                    <xdr:colOff>342900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name="Check Box 10" r:id="rId12">
              <controlPr defaultSize="0">
                <anchor moveWithCells="1">
                  <from>
                    <xdr:col>2</xdr:col>
                    <xdr:colOff>400050</xdr:colOff>
                    <xdr:row>38</xdr:row>
                    <xdr:rowOff>123825</xdr:rowOff>
                  </from>
                  <to>
                    <xdr:col>2</xdr:col>
                    <xdr:colOff>581025</xdr:colOff>
                    <xdr:row>39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name="Check Box 11" r:id="rId13">
              <controlPr defaultSize="0">
                <anchor moveWithCells="1">
                  <from>
                    <xdr:col>3</xdr:col>
                    <xdr:colOff>142875</xdr:colOff>
                    <xdr:row>38</xdr:row>
                    <xdr:rowOff>123825</xdr:rowOff>
                  </from>
                  <to>
                    <xdr:col>3</xdr:col>
                    <xdr:colOff>323850</xdr:colOff>
                    <xdr:row>39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name="Check Box 12" r:id="rId14">
              <controlPr defaultSize="0">
                <anchor moveWithCells="1">
                  <from>
                    <xdr:col>4</xdr:col>
                    <xdr:colOff>228600</xdr:colOff>
                    <xdr:row>38</xdr:row>
                    <xdr:rowOff>123825</xdr:rowOff>
                  </from>
                  <to>
                    <xdr:col>4</xdr:col>
                    <xdr:colOff>409575</xdr:colOff>
                    <xdr:row>39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name="Check Box 13" r:id="rId15">
              <controlPr defaultSize="0">
                <anchor moveWithCells="1">
                  <from>
                    <xdr:col>6</xdr:col>
                    <xdr:colOff>228600</xdr:colOff>
                    <xdr:row>38</xdr:row>
                    <xdr:rowOff>123825</xdr:rowOff>
                  </from>
                  <to>
                    <xdr:col>6</xdr:col>
                    <xdr:colOff>409575</xdr:colOff>
                    <xdr:row>39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name="Check Box 14" r:id="rId16">
              <controlPr defaultSize="0">
                <anchor moveWithCells="1">
                  <from>
                    <xdr:col>7</xdr:col>
                    <xdr:colOff>819150</xdr:colOff>
                    <xdr:row>38</xdr:row>
                    <xdr:rowOff>114300</xdr:rowOff>
                  </from>
                  <to>
                    <xdr:col>8</xdr:col>
                    <xdr:colOff>104775</xdr:colOff>
                    <xdr:row>39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name="Check Box 15" r:id="rId17">
              <controlPr defaultSize="0">
                <anchor moveWithCells="1">
                  <from>
                    <xdr:col>2</xdr:col>
                    <xdr:colOff>400050</xdr:colOff>
                    <xdr:row>39</xdr:row>
                    <xdr:rowOff>142875</xdr:rowOff>
                  </from>
                  <to>
                    <xdr:col>2</xdr:col>
                    <xdr:colOff>581025</xdr:colOff>
                    <xdr:row>40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name="Check Box 16" r:id="rId18">
              <controlPr defaultSize="0">
                <anchor moveWithCells="1">
                  <from>
                    <xdr:col>3</xdr:col>
                    <xdr:colOff>142875</xdr:colOff>
                    <xdr:row>39</xdr:row>
                    <xdr:rowOff>142875</xdr:rowOff>
                  </from>
                  <to>
                    <xdr:col>3</xdr:col>
                    <xdr:colOff>323850</xdr:colOff>
                    <xdr:row>40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3" sqref="B13"/>
    </sheetView>
  </sheetViews>
  <sheetFormatPr defaultColWidth="9" defaultRowHeight="14.25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11"/>
  <sheetViews>
    <sheetView topLeftCell="A20" workbookViewId="0">
      <selection activeCell="D21" sqref="D21"/>
    </sheetView>
  </sheetViews>
  <sheetFormatPr defaultColWidth="9" defaultRowHeight="14.25"/>
  <cols>
    <col min="2" max="2" width="15.1083333333333" customWidth="1"/>
    <col min="3" max="3" width="25.2166666666667" customWidth="1"/>
  </cols>
  <sheetData>
    <row r="3" ht="15"/>
    <row r="4" ht="29.25" spans="2:9">
      <c r="B4" s="1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</row>
    <row r="5" ht="15" spans="2:9">
      <c r="B5" s="3" t="s">
        <v>79</v>
      </c>
      <c r="C5" s="4" t="s">
        <v>80</v>
      </c>
      <c r="D5" s="5">
        <v>500</v>
      </c>
      <c r="E5" s="5">
        <v>500</v>
      </c>
      <c r="F5" s="5">
        <v>500</v>
      </c>
      <c r="G5" s="5">
        <v>23.6283</v>
      </c>
      <c r="H5" s="5">
        <v>26.7</v>
      </c>
      <c r="I5" s="5">
        <v>82</v>
      </c>
    </row>
    <row r="6" ht="15" spans="2:9">
      <c r="B6" s="3" t="s">
        <v>81</v>
      </c>
      <c r="C6" s="4" t="s">
        <v>82</v>
      </c>
      <c r="D6" s="5">
        <v>800</v>
      </c>
      <c r="E6" s="5">
        <v>800</v>
      </c>
      <c r="F6" s="5">
        <v>800</v>
      </c>
      <c r="G6" s="5">
        <v>7.07965</v>
      </c>
      <c r="H6" s="5">
        <v>8</v>
      </c>
      <c r="I6" s="5">
        <v>81</v>
      </c>
    </row>
    <row r="7" ht="15" spans="2:9">
      <c r="B7" s="3" t="s">
        <v>81</v>
      </c>
      <c r="C7" s="4" t="s">
        <v>83</v>
      </c>
      <c r="D7" s="5">
        <v>4000</v>
      </c>
      <c r="E7" s="5">
        <v>4000</v>
      </c>
      <c r="F7" s="5">
        <v>4000</v>
      </c>
      <c r="G7" s="5">
        <v>2.0354</v>
      </c>
      <c r="H7" s="5">
        <v>2.3</v>
      </c>
      <c r="I7" s="5">
        <v>52</v>
      </c>
    </row>
    <row r="8" ht="15" spans="2:9">
      <c r="B8" s="3" t="s">
        <v>79</v>
      </c>
      <c r="C8" s="4" t="s">
        <v>84</v>
      </c>
      <c r="D8" s="5">
        <v>2500</v>
      </c>
      <c r="E8" s="5">
        <v>2500</v>
      </c>
      <c r="F8" s="5">
        <v>2500</v>
      </c>
      <c r="G8" s="5">
        <v>3.18584</v>
      </c>
      <c r="H8" s="5">
        <v>3.6</v>
      </c>
      <c r="I8" s="5">
        <v>86</v>
      </c>
    </row>
    <row r="9" ht="15" spans="2:9">
      <c r="B9" s="3" t="s">
        <v>79</v>
      </c>
      <c r="C9" s="4" t="s">
        <v>85</v>
      </c>
      <c r="D9" s="5">
        <v>2500</v>
      </c>
      <c r="E9" s="5">
        <v>2500</v>
      </c>
      <c r="F9" s="5">
        <v>2500</v>
      </c>
      <c r="G9" s="5">
        <v>7.9646</v>
      </c>
      <c r="H9" s="5">
        <v>9</v>
      </c>
      <c r="I9" s="5">
        <v>87</v>
      </c>
    </row>
    <row r="10" ht="15" spans="2:9">
      <c r="B10" s="3" t="s">
        <v>79</v>
      </c>
      <c r="C10" s="4" t="s">
        <v>86</v>
      </c>
      <c r="D10" s="5">
        <v>1000</v>
      </c>
      <c r="E10" s="5">
        <v>1000</v>
      </c>
      <c r="F10" s="5">
        <v>1000</v>
      </c>
      <c r="G10" s="5">
        <v>18.5841</v>
      </c>
      <c r="H10" s="5">
        <v>21</v>
      </c>
      <c r="I10" s="5">
        <v>35</v>
      </c>
    </row>
    <row r="11" ht="15" spans="2:9">
      <c r="B11" s="3" t="s">
        <v>79</v>
      </c>
      <c r="C11" s="4" t="s">
        <v>87</v>
      </c>
      <c r="D11" s="5">
        <v>500</v>
      </c>
      <c r="E11" s="5">
        <v>500</v>
      </c>
      <c r="F11" s="5">
        <v>500</v>
      </c>
      <c r="G11" s="5">
        <v>23.8938</v>
      </c>
      <c r="H11" s="5">
        <v>27</v>
      </c>
      <c r="I11" s="5">
        <v>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Sheet4</vt:lpstr>
      <vt:lpstr>Sheet5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周则尧</cp:lastModifiedBy>
  <dcterms:created xsi:type="dcterms:W3CDTF">2015-06-05T18:17:00Z</dcterms:created>
  <dcterms:modified xsi:type="dcterms:W3CDTF">2026-02-26T01:40:53Z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9e395e-e3b5-421f-8616-70a10f9451af_Enabled">
    <vt:lpwstr>true</vt:lpwstr>
  </property>
  <property fmtid="{D5CDD505-2E9C-101B-9397-08002B2CF9AE}" pid="3" name="MSIP_Label_879e395e-e3b5-421f-8616-70a10f9451af_SetDate">
    <vt:lpwstr>2021-11-18T03:58:03Z</vt:lpwstr>
  </property>
  <property fmtid="{D5CDD505-2E9C-101B-9397-08002B2CF9AE}" pid="4" name="MSIP_Label_879e395e-e3b5-421f-8616-70a10f9451af_Method">
    <vt:lpwstr>Standard</vt:lpwstr>
  </property>
  <property fmtid="{D5CDD505-2E9C-101B-9397-08002B2CF9AE}" pid="5" name="MSIP_Label_879e395e-e3b5-421f-8616-70a10f9451af_Name">
    <vt:lpwstr>879e395e-e3b5-421f-8616-70a10f9451af</vt:lpwstr>
  </property>
  <property fmtid="{D5CDD505-2E9C-101B-9397-08002B2CF9AE}" pid="6" name="MSIP_Label_879e395e-e3b5-421f-8616-70a10f9451af_SiteId">
    <vt:lpwstr>0beb0c35-9cbb-4feb-99e5-589e415c7944</vt:lpwstr>
  </property>
  <property fmtid="{D5CDD505-2E9C-101B-9397-08002B2CF9AE}" pid="7" name="MSIP_Label_879e395e-e3b5-421f-8616-70a10f9451af_ContentBits">
    <vt:lpwstr>0</vt:lpwstr>
  </property>
  <property fmtid="{D5CDD505-2E9C-101B-9397-08002B2CF9AE}" pid="8" name="ICV">
    <vt:lpwstr>E2CE8DA32CC34406B8681FEDA2AFE230_13</vt:lpwstr>
  </property>
  <property fmtid="{D5CDD505-2E9C-101B-9397-08002B2CF9AE}" pid="9" name="KSOProductBuildVer">
    <vt:lpwstr>2052-12.1.0.21541</vt:lpwstr>
  </property>
</Properties>
</file>