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7945" windowHeight="12375"/>
  </bookViews>
  <sheets>
    <sheet sheetId="1" name="Sheet1" state="visible" r:id="rId4"/>
    <sheet sheetId="3" name="Sheet3" state="visible" r:id="rId5"/>
    <sheet sheetId="4" name="Sheet4" state="visible" r:id="rId6"/>
    <sheet sheetId="5" name="Sheet5" state="visible" r:id="rId7"/>
    <sheet sheetId="6" name="Sheet6" state="visible" r:id="rId8"/>
    <sheet sheetId="7" name="Sheet7" state="visible" r:id="rId9"/>
  </sheets>
  <definedNames>
    <definedName name="_xlnm.Print_Area" localSheetId="0">'Sheet1'!$B1:$L63</definedName>
  </definedNames>
  <calcPr calcId="171027"/>
</workbook>
</file>

<file path=xl/sharedStrings.xml><?xml version="1.0" encoding="utf-8"?>
<sst xmlns="http://schemas.openxmlformats.org/spreadsheetml/2006/main" count="106" uniqueCount="90">
  <si>
    <t>购销订单</t>
  </si>
  <si>
    <t>页码：</t>
  </si>
  <si>
    <r>
      <rPr>
        <charset val="134"/>
        <sz val="8"/>
        <rFont val="宋体"/>
      </rPr>
      <t>（请选择）</t>
    </r>
  </si>
  <si>
    <t>订单号：</t>
  </si>
  <si>
    <t>HB20260226-ARROW01</t>
  </si>
  <si>
    <t>合同号：（如有）</t>
  </si>
  <si>
    <t>日期：</t>
  </si>
  <si>
    <r>
      <rPr>
        <charset val="134"/>
        <sz val="8"/>
        <rFont val="宋体"/>
      </rPr>
      <t>艾睿（中国）电子贸易有限公司</t>
    </r>
  </si>
  <si>
    <r>
      <rPr>
        <charset val="134"/>
        <sz val="8"/>
        <rFont val="宋体"/>
      </rPr>
      <t>中国（上海）自由贸易试验区巴圣路275号</t>
    </r>
    <r>
      <rPr>
        <charset val="134"/>
        <sz val="8"/>
        <rFont val="Arial"/>
      </rPr>
      <t>1</t>
    </r>
    <r>
      <rPr>
        <charset val="134"/>
        <sz val="8"/>
        <rFont val="宋体"/>
      </rPr>
      <t>幢</t>
    </r>
    <r>
      <rPr>
        <charset val="134"/>
        <sz val="8"/>
        <rFont val="Arial"/>
      </rPr>
      <t>A</t>
    </r>
    <r>
      <rPr>
        <charset val="134"/>
        <sz val="8"/>
        <rFont val="宋体"/>
      </rPr>
      <t>部位</t>
    </r>
  </si>
  <si>
    <r>
      <rPr>
        <charset val="134"/>
        <sz val="8"/>
        <rFont val="宋体"/>
      </rPr>
      <t>艾睿电子中国有限公司</t>
    </r>
  </si>
  <si>
    <r>
      <rPr>
        <charset val="134"/>
        <sz val="8"/>
        <rFont val="宋体"/>
      </rPr>
      <t>香港沙田科学园科技大道东</t>
    </r>
    <r>
      <rPr>
        <charset val="134"/>
        <sz val="8"/>
        <rFont val="Arial"/>
      </rPr>
      <t>18</t>
    </r>
    <r>
      <rPr>
        <charset val="134"/>
        <sz val="8"/>
        <rFont val="宋体"/>
      </rPr>
      <t>号绿景楼</t>
    </r>
    <r>
      <rPr>
        <charset val="134"/>
        <sz val="8"/>
        <rFont val="Arial"/>
      </rPr>
      <t>2-3</t>
    </r>
    <r>
      <rPr>
        <charset val="134"/>
        <sz val="8"/>
        <rFont val="宋体"/>
      </rPr>
      <t>楼</t>
    </r>
  </si>
  <si>
    <t>供方</t>
  </si>
  <si>
    <t>公司名称：</t>
  </si>
  <si>
    <t>艾睿（中国）电子贸易有限公司杭州分公司</t>
  </si>
  <si>
    <t>需方</t>
  </si>
  <si>
    <t>绍兴宏邦电子科技有限公司</t>
  </si>
  <si>
    <t>艾睿（中国）电子貿易有限公司深圳分公司</t>
  </si>
  <si>
    <r>
      <rPr>
        <charset val="134"/>
        <sz val="8"/>
        <rFont val="宋体"/>
      </rPr>
      <t>深圳市福田区福保街道福田保税区红花路</t>
    </r>
    <r>
      <rPr>
        <charset val="134"/>
        <sz val="8"/>
        <rFont val="Arial"/>
      </rPr>
      <t>99</t>
    </r>
    <r>
      <rPr>
        <charset val="134"/>
        <sz val="8"/>
        <rFont val="宋体"/>
      </rPr>
      <t>号长平商务大厦3层</t>
    </r>
  </si>
  <si>
    <t>地址：</t>
  </si>
  <si>
    <t>浙江省杭州市滨江区长河街道越达巷82号房天下大厦17层1711-1713、1718-1729室</t>
  </si>
  <si>
    <t>浙江.绍兴市越城区稽山街道嵊山路167号</t>
  </si>
  <si>
    <t>艾睿（中国）电子贸易有限公司北京分公司</t>
  </si>
  <si>
    <r>
      <rPr>
        <charset val="134"/>
        <sz val="8"/>
        <rFont val="微软雅黑"/>
      </rPr>
      <t>北京市朝阳区酒仙桥路</t>
    </r>
    <r>
      <rPr>
        <charset val="134"/>
        <sz val="8"/>
        <rFont val="Arial"/>
      </rPr>
      <t xml:space="preserve">6 </t>
    </r>
    <r>
      <rPr>
        <charset val="134"/>
        <sz val="8"/>
        <rFont val="微软雅黑"/>
      </rPr>
      <t>号电子城</t>
    </r>
    <r>
      <rPr>
        <charset val="134"/>
        <sz val="8"/>
        <rFont val="Arial"/>
      </rPr>
      <t>·</t>
    </r>
    <r>
      <rPr>
        <charset val="134"/>
        <sz val="8"/>
        <rFont val="微软雅黑"/>
      </rPr>
      <t>国际电子总部</t>
    </r>
    <r>
      <rPr>
        <charset val="134"/>
        <sz val="8"/>
        <rFont val="Arial"/>
      </rPr>
      <t xml:space="preserve">6 </t>
    </r>
    <r>
      <rPr>
        <charset val="134"/>
        <sz val="8"/>
        <rFont val="微软雅黑"/>
      </rPr>
      <t>号楼</t>
    </r>
    <r>
      <rPr>
        <charset val="134"/>
        <sz val="8"/>
        <rFont val="Arial"/>
      </rPr>
      <t xml:space="preserve">6B-10 </t>
    </r>
    <r>
      <rPr>
        <charset val="134"/>
        <sz val="8"/>
        <rFont val="微软雅黑"/>
      </rPr>
      <t>层</t>
    </r>
  </si>
  <si>
    <r>
      <rPr>
        <charset val="134"/>
        <sz val="8"/>
        <rFont val="宋体"/>
      </rPr>
      <t>艾睿（中国）电子贸易有限公司南京分公司</t>
    </r>
  </si>
  <si>
    <r>
      <rPr>
        <charset val="134"/>
        <sz val="8"/>
        <rFont val="宋体"/>
      </rPr>
      <t>江宁区胜利路</t>
    </r>
    <r>
      <rPr>
        <charset val="134"/>
        <sz val="8"/>
        <rFont val="Arial"/>
      </rPr>
      <t>89</t>
    </r>
    <r>
      <rPr>
        <charset val="134"/>
        <sz val="8"/>
        <rFont val="宋体"/>
      </rPr>
      <t>号紫金研发创业中心</t>
    </r>
    <r>
      <rPr>
        <charset val="134"/>
        <sz val="8"/>
        <rFont val="Arial"/>
      </rPr>
      <t>3</t>
    </r>
    <r>
      <rPr>
        <charset val="134"/>
        <sz val="8"/>
        <rFont val="宋体"/>
      </rPr>
      <t>号楼</t>
    </r>
    <r>
      <rPr>
        <charset val="134"/>
        <sz val="8"/>
        <rFont val="Arial"/>
      </rPr>
      <t>6</t>
    </r>
    <r>
      <rPr>
        <charset val="134"/>
        <sz val="8"/>
        <rFont val="宋体"/>
      </rPr>
      <t>层</t>
    </r>
    <r>
      <rPr>
        <charset val="134"/>
        <sz val="8"/>
        <rFont val="Arial"/>
      </rPr>
      <t>602</t>
    </r>
    <r>
      <rPr>
        <charset val="134"/>
        <sz val="8"/>
        <rFont val="宋体"/>
      </rPr>
      <t>室</t>
    </r>
  </si>
  <si>
    <t>联系人：</t>
  </si>
  <si>
    <t>Huber.Hu</t>
  </si>
  <si>
    <t>周则尧</t>
  </si>
  <si>
    <r>
      <rPr>
        <charset val="134"/>
        <sz val="8"/>
        <rFont val="宋体"/>
      </rPr>
      <t>艾睿（中国）电子贸易有限公司苏州分公司</t>
    </r>
  </si>
  <si>
    <r>
      <rPr>
        <charset val="134"/>
        <sz val="8"/>
        <rFont val="宋体"/>
      </rPr>
      <t>江苏省苏州市苏州工业园区华池街时代广场</t>
    </r>
    <r>
      <rPr>
        <charset val="134"/>
        <sz val="8"/>
        <rFont val="Arial"/>
      </rPr>
      <t>24</t>
    </r>
    <r>
      <rPr>
        <charset val="134"/>
        <sz val="8"/>
        <rFont val="宋体"/>
      </rPr>
      <t>幢苏州国际金融中心</t>
    </r>
    <r>
      <rPr>
        <charset val="134"/>
        <sz val="8"/>
        <rFont val="Arial"/>
      </rPr>
      <t>615</t>
    </r>
    <r>
      <rPr>
        <charset val="134"/>
        <sz val="8"/>
        <rFont val="宋体"/>
      </rPr>
      <t>室</t>
    </r>
  </si>
  <si>
    <t>联系人电话：</t>
  </si>
  <si>
    <r>
      <rPr>
        <charset val="134"/>
        <sz val="8"/>
        <rFont val="宋体"/>
      </rPr>
      <t>艾睿电子（香港）有限公司</t>
    </r>
  </si>
  <si>
    <r>
      <rPr>
        <charset val="134"/>
        <sz val="8"/>
        <rFont val="宋体"/>
      </rPr>
      <t>中国（上海）自由贸易试验区加枫路</t>
    </r>
    <r>
      <rPr>
        <charset val="134"/>
        <sz val="8"/>
        <rFont val="Arial"/>
      </rPr>
      <t>24</t>
    </r>
    <r>
      <rPr>
        <charset val="134"/>
        <sz val="8"/>
        <rFont val="宋体"/>
      </rPr>
      <t>号</t>
    </r>
    <r>
      <rPr>
        <charset val="134"/>
        <sz val="8"/>
        <rFont val="Arial"/>
      </rPr>
      <t>2</t>
    </r>
    <r>
      <rPr>
        <charset val="134"/>
        <sz val="8"/>
        <rFont val="宋体"/>
      </rPr>
      <t>层</t>
    </r>
    <r>
      <rPr>
        <charset val="134"/>
        <sz val="8"/>
        <rFont val="Arial"/>
      </rPr>
      <t>203</t>
    </r>
    <r>
      <rPr>
        <charset val="134"/>
        <sz val="8"/>
        <rFont val="宋体"/>
      </rPr>
      <t>室</t>
    </r>
  </si>
  <si>
    <t>联系人邮箱：</t>
  </si>
  <si>
    <t>Huber.Hu@arrow.com</t>
  </si>
  <si>
    <t>zhou@hongbangtech.com</t>
  </si>
  <si>
    <t>艾睿（上海）贸易有限公司</t>
  </si>
  <si>
    <r>
      <rPr>
        <charset val="134"/>
        <sz val="8"/>
        <rFont val="宋体"/>
      </rPr>
      <t>北京市海淀区四道口路净土寺</t>
    </r>
    <r>
      <rPr>
        <charset val="134"/>
        <sz val="8"/>
        <rFont val="Arial"/>
      </rPr>
      <t>32</t>
    </r>
    <r>
      <rPr>
        <charset val="134"/>
        <sz val="8"/>
        <rFont val="宋体"/>
      </rPr>
      <t>号东区</t>
    </r>
    <r>
      <rPr>
        <charset val="134"/>
        <sz val="8"/>
        <rFont val="Arial"/>
      </rPr>
      <t>8</t>
    </r>
    <r>
      <rPr>
        <charset val="134"/>
        <sz val="8"/>
        <rFont val="宋体"/>
      </rPr>
      <t>号楼</t>
    </r>
    <r>
      <rPr>
        <charset val="134"/>
        <sz val="8"/>
        <rFont val="Arial"/>
      </rPr>
      <t>805</t>
    </r>
  </si>
  <si>
    <t>北京艾睿合众科技有限公司</t>
  </si>
  <si>
    <r>
      <rPr>
        <charset val="134"/>
        <sz val="8"/>
        <rFont val="等线"/>
      </rPr>
      <t>浙江省杭州市滨江区长河街道越达巷</t>
    </r>
    <r>
      <rPr>
        <charset val="134"/>
        <sz val="8"/>
        <rFont val="Arial"/>
      </rPr>
      <t>82</t>
    </r>
    <r>
      <rPr>
        <charset val="134"/>
        <sz val="8"/>
        <rFont val="等线"/>
      </rPr>
      <t>号房天下大厦</t>
    </r>
    <r>
      <rPr>
        <charset val="134"/>
        <sz val="8"/>
        <rFont val="Arial"/>
      </rPr>
      <t>17</t>
    </r>
    <r>
      <rPr>
        <charset val="134"/>
        <sz val="8"/>
        <rFont val="等线"/>
      </rPr>
      <t>层</t>
    </r>
    <r>
      <rPr>
        <charset val="134"/>
        <sz val="8"/>
        <rFont val="Arial"/>
      </rPr>
      <t>1711-1713</t>
    </r>
    <r>
      <rPr>
        <charset val="134"/>
        <sz val="8"/>
        <rFont val="等线"/>
      </rPr>
      <t>、</t>
    </r>
    <r>
      <rPr>
        <charset val="134"/>
        <sz val="8"/>
        <rFont val="Arial"/>
      </rPr>
      <t>1718-1729</t>
    </r>
    <r>
      <rPr>
        <charset val="134"/>
        <sz val="8"/>
        <rFont val="等线"/>
      </rPr>
      <t>室</t>
    </r>
  </si>
  <si>
    <t>兹经供需双方同意成交下列产品并订立条款如下：</t>
  </si>
  <si>
    <t>原生产商</t>
  </si>
  <si>
    <t>原生产商料号</t>
  </si>
  <si>
    <r>
      <rPr>
        <b/>
        <charset val="134"/>
        <sz val="10"/>
        <rFont val="宋体"/>
      </rPr>
      <t>客户料号</t>
    </r>
  </si>
  <si>
    <r>
      <rPr>
        <b/>
        <charset val="134"/>
        <sz val="10"/>
        <rFont val="宋体"/>
      </rPr>
      <t>数量</t>
    </r>
  </si>
  <si>
    <r>
      <rPr>
        <b/>
        <charset val="134"/>
        <sz val="10"/>
        <rFont val="宋体"/>
      </rPr>
      <t>价格</t>
    </r>
    <r>
      <rPr>
        <b/>
        <charset val="134"/>
        <sz val="10"/>
        <rFont val="Arial"/>
      </rPr>
      <t xml:space="preserve">       (USD)</t>
    </r>
  </si>
  <si>
    <t>报价汇率</t>
  </si>
  <si>
    <r>
      <rPr>
        <b/>
        <charset val="134"/>
        <sz val="10"/>
        <rFont val="宋体"/>
      </rPr>
      <t>价格</t>
    </r>
    <r>
      <rPr>
        <b/>
        <charset val="134"/>
        <sz val="10"/>
        <rFont val="Arial"/>
      </rPr>
      <t xml:space="preserve">       </t>
    </r>
    <r>
      <rPr>
        <b/>
        <charset val="134"/>
        <sz val="10"/>
        <rFont val="宋体"/>
      </rPr>
      <t>（</t>
    </r>
    <r>
      <rPr>
        <b/>
        <charset val="134"/>
        <sz val="10"/>
        <rFont val="Arial"/>
      </rPr>
      <t>RMB</t>
    </r>
    <r>
      <rPr>
        <b/>
        <charset val="134"/>
        <sz val="10"/>
        <rFont val="宋体"/>
      </rPr>
      <t>）</t>
    </r>
  </si>
  <si>
    <r>
      <rPr>
        <b/>
        <charset val="134"/>
        <sz val="10"/>
        <rFont val="宋体"/>
      </rPr>
      <t>含税价格（</t>
    </r>
    <r>
      <rPr>
        <b/>
        <charset val="134"/>
        <sz val="10"/>
        <rFont val="Arial"/>
      </rPr>
      <t>RMB</t>
    </r>
    <r>
      <rPr>
        <b/>
        <charset val="134"/>
        <sz val="10"/>
        <rFont val="宋体"/>
      </rPr>
      <t>）</t>
    </r>
  </si>
  <si>
    <r>
      <rPr>
        <b/>
        <charset val="134"/>
        <sz val="10"/>
        <rFont val="宋体"/>
      </rPr>
      <t>含税总金额（</t>
    </r>
    <r>
      <rPr>
        <b/>
        <charset val="134"/>
        <sz val="10"/>
        <rFont val="Arial"/>
      </rPr>
      <t>RMB</t>
    </r>
    <r>
      <rPr>
        <b/>
        <charset val="134"/>
        <sz val="10"/>
        <rFont val="宋体"/>
      </rPr>
      <t>）</t>
    </r>
  </si>
  <si>
    <r>
      <rPr>
        <b/>
        <charset val="134"/>
        <sz val="10"/>
        <rFont val="宋体"/>
      </rPr>
      <t>客户要求的交期</t>
    </r>
  </si>
  <si>
    <r>
      <rPr>
        <b/>
        <charset val="134"/>
        <sz val="10"/>
        <rFont val="宋体"/>
      </rPr>
      <t>备注</t>
    </r>
  </si>
  <si>
    <t>40K</t>
  </si>
  <si>
    <t>机械神教</t>
  </si>
  <si>
    <t>3M</t>
  </si>
  <si>
    <t>10250-55H3PC</t>
  </si>
  <si>
    <r>
      <t>14</t>
    </r>
    <r>
      <rPr>
        <charset val="134"/>
        <sz val="10"/>
        <rFont val="宋体"/>
      </rPr>
      <t>周</t>
    </r>
  </si>
  <si>
    <t>总计：</t>
  </si>
  <si>
    <r>
      <rPr>
        <b/>
        <charset val="134"/>
        <color theme="1"/>
        <scheme val="minor"/>
        <sz val="10"/>
        <rFont val="等线"/>
      </rPr>
      <t>备注：1.以美金报价为准，按报价汇率（见上表所列）折算为人民币价格。人民币付款时，如果出货日当天的汇率（指彭博汇率）和报价汇率相比变化超过【</t>
    </r>
    <r>
      <rPr>
        <b/>
        <u/>
        <charset val="134"/>
        <color theme="1"/>
        <scheme val="minor"/>
        <sz val="10"/>
        <rFont val="等线"/>
      </rPr>
      <t xml:space="preserve">        </t>
    </r>
    <r>
      <rPr>
        <b/>
        <charset val="134"/>
        <color theme="1"/>
        <scheme val="minor"/>
        <sz val="10"/>
        <rFont val="等线"/>
      </rPr>
      <t>】%（含），则将按出货日的汇率将美金报价折算为人民币价格。2.价格不含关税。在价格的基础上，需方应承担出货时适用的关税。供方有权相应调整价格。</t>
    </r>
  </si>
  <si>
    <t xml:space="preserve">付
款
条
件</t>
  </si>
  <si>
    <t xml:space="preserve">付
款
方
式</t>
  </si>
  <si>
    <t>交货条件：</t>
  </si>
  <si>
    <t>送货地址:</t>
  </si>
  <si>
    <t xml:space="preserve">
</t>
  </si>
  <si>
    <t>供方（盖章）：</t>
  </si>
  <si>
    <t>需方（盖章）：绍兴宏邦电子科技有限公司</t>
  </si>
  <si>
    <t xml:space="preserve">授权代表
（签字）：</t>
  </si>
  <si>
    <t xml:space="preserve">授权代表
（签字）:</t>
  </si>
  <si>
    <t>姓名：</t>
  </si>
  <si>
    <t>胡兵</t>
  </si>
  <si>
    <t>职位：</t>
  </si>
  <si>
    <t>高级客户经理</t>
  </si>
  <si>
    <t>采购经理</t>
  </si>
  <si>
    <t>Quoted Mfr</t>
  </si>
  <si>
    <t>Quoted Part</t>
  </si>
  <si>
    <t>Quoted Qty</t>
  </si>
  <si>
    <t>SMult</t>
  </si>
  <si>
    <t>MOQ</t>
  </si>
  <si>
    <t>Resale</t>
  </si>
  <si>
    <t>Rsl inc VAT</t>
  </si>
  <si>
    <t>Arrow LT</t>
  </si>
  <si>
    <t>TI</t>
  </si>
  <si>
    <t>LM2576HVSX-5.0/NOPB</t>
  </si>
  <si>
    <t>ONSEMI</t>
  </si>
  <si>
    <t>LM2576D2TR4-5G</t>
  </si>
  <si>
    <t>NCV20032DMR2G</t>
  </si>
  <si>
    <t>TLV2316QDGKRQ1</t>
  </si>
  <si>
    <t>TPS54061QDRBRQ1</t>
  </si>
  <si>
    <t>DRV8343SPHPRQ1</t>
  </si>
  <si>
    <t>LM2576HVSX-12/NOPB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</si>
</sst>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00_);[Red](0.00000)"/>
    <numFmt numFmtId="165" formatCode="0_);[Red](0)"/>
    <numFmt numFmtId="166" formatCode="0.0000_);[Red](0.0000)"/>
    <numFmt numFmtId="167" formatCode="0.00;[Red]0.00"/>
  </numFmts>
  <fonts count="13" x14ac:knownFonts="1">
    <font>
      <color theme="1"/>
      <family val="2"/>
      <scheme val="minor"/>
      <sz val="11"/>
      <name val="Calibri"/>
    </font>
    <font>
      <b/>
      <u/>
      <charset val="134"/>
      <color theme="1"/>
      <scheme val="minor"/>
      <sz val="20"/>
      <name val="等线"/>
    </font>
    <font>
      <b/>
      <charset val="134"/>
      <color theme="1"/>
      <scheme val="minor"/>
      <sz val="11"/>
      <name val="等线"/>
    </font>
    <font>
      <charset val="134"/>
      <sz val="8"/>
      <name val="Arial"/>
    </font>
    <font>
      <b/>
      <charset val="134"/>
      <color theme="1"/>
      <scheme val="minor"/>
      <sz val="10"/>
      <name val="等线"/>
    </font>
    <font>
      <charset val="134"/>
      <sz val="8"/>
      <name val="宋体"/>
    </font>
    <font>
      <u/>
      <charset val="134"/>
      <color theme="10"/>
      <scheme val="minor"/>
      <sz val="11"/>
      <name val="等线"/>
    </font>
    <font>
      <charset val="134"/>
      <color theme="1"/>
      <scheme val="minor"/>
      <sz val="10"/>
      <name val="等线"/>
    </font>
    <font>
      <b/>
      <charset val="134"/>
      <sz val="10"/>
      <name val="Arial"/>
    </font>
    <font>
      <b/>
      <charset val="134"/>
      <sz val="10"/>
      <name val="宋体"/>
    </font>
    <font>
      <charset val="134"/>
      <sz val="10"/>
      <name val="Arial"/>
    </font>
    <font>
      <u/>
      <charset val="134"/>
      <color theme="1"/>
      <scheme val="minor"/>
      <sz val="10"/>
      <name val="等线"/>
    </font>
    <font>
      <charset val="134"/>
      <color rgb="FF000000"/>
      <sz val="11"/>
      <name val="Arial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/>
      <right style="medium"/>
      <top style="medium"/>
      <bottom/>
      <diagonal/>
    </border>
    <border>
      <left style="medium"/>
      <right/>
      <top style="medium"/>
      <bottom style="thin"/>
      <diagonal/>
    </border>
    <border>
      <left/>
      <right/>
      <top style="medium"/>
      <bottom style="thin"/>
      <diagonal/>
    </border>
    <border>
      <left/>
      <right/>
      <top style="medium"/>
      <bottom/>
      <diagonal/>
    </border>
    <border>
      <left/>
      <right style="medium"/>
      <top style="medium"/>
      <bottom style="thin"/>
      <diagonal/>
    </border>
    <border>
      <left style="medium"/>
      <right style="medium"/>
      <top/>
      <bottom style="medium"/>
      <diagonal/>
    </border>
    <border>
      <left/>
      <right/>
      <top/>
      <bottom style="medium"/>
      <diagonal/>
    </border>
    <border>
      <left/>
      <right/>
      <top style="thin"/>
      <bottom style="medium"/>
      <diagonal/>
    </border>
    <border>
      <left/>
      <right style="medium"/>
      <top/>
      <bottom style="medium"/>
      <diagonal/>
    </border>
    <border>
      <left style="medium"/>
      <right/>
      <top style="medium"/>
      <bottom/>
      <diagonal/>
    </border>
    <border>
      <left style="medium"/>
      <right/>
      <top/>
      <bottom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 style="medium"/>
      <right style="medium"/>
      <top/>
      <bottom/>
      <diagonal/>
    </border>
    <border>
      <left style="medium"/>
      <right/>
      <top/>
      <bottom style="thin"/>
      <diagonal/>
    </border>
    <border>
      <left/>
      <right/>
      <top/>
      <bottom style="thin"/>
      <diagonal/>
    </border>
    <border>
      <left/>
      <right style="medium"/>
      <top/>
      <bottom style="thin"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 style="medium"/>
      <top style="thin"/>
      <bottom style="medium"/>
      <diagonal/>
    </border>
    <border>
      <left style="thin"/>
      <right/>
      <top style="medium"/>
      <bottom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 style="medium"/>
      <top style="medium"/>
      <bottom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left" wrapText="1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14" fontId="4" fillId="0" borderId="4" xfId="0" applyNumberFormat="1" applyFont="1" applyBorder="1"/>
    <xf numFmtId="14" fontId="4" fillId="0" borderId="3" xfId="0" applyNumberFormat="1" applyFont="1" applyBorder="1"/>
    <xf numFmtId="0" fontId="4" fillId="0" borderId="5" xfId="0" applyFont="1" applyBorder="1"/>
    <xf numFmtId="0" fontId="3" fillId="0" borderId="0" xfId="0" applyFont="1" applyAlignment="1">
      <alignment wrapText="1"/>
    </xf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wrapText="1"/>
    </xf>
    <xf numFmtId="0" fontId="4" fillId="0" borderId="11" xfId="0" applyFont="1" applyBorder="1" applyAlignment="1">
      <alignment horizontal="center" vertical="center"/>
    </xf>
    <xf numFmtId="0" fontId="4" fillId="0" borderId="11" xfId="0" applyFont="1" applyBorder="1"/>
    <xf numFmtId="0" fontId="4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center" vertical="center"/>
    </xf>
    <xf numFmtId="0" fontId="4" fillId="0" borderId="0" xfId="0" applyFont="1"/>
    <xf numFmtId="49" fontId="5" fillId="0" borderId="0" xfId="0" applyNumberFormat="1" applyFont="1" applyAlignment="1">
      <alignment wrapText="1"/>
    </xf>
    <xf numFmtId="0" fontId="4" fillId="0" borderId="15" xfId="0" applyFont="1" applyBorder="1"/>
    <xf numFmtId="0" fontId="4" fillId="0" borderId="16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49" fontId="3" fillId="0" borderId="0" xfId="0" applyNumberFormat="1" applyFont="1" applyAlignment="1">
      <alignment wrapText="1"/>
    </xf>
    <xf numFmtId="0" fontId="4" fillId="0" borderId="1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4" fontId="4" fillId="0" borderId="18" xfId="0" applyNumberFormat="1" applyFont="1" applyBorder="1"/>
    <xf numFmtId="0" fontId="4" fillId="0" borderId="18" xfId="0" applyFont="1" applyBorder="1"/>
    <xf numFmtId="0" fontId="4" fillId="0" borderId="19" xfId="0" applyFont="1" applyBorder="1"/>
    <xf numFmtId="165" fontId="3" fillId="0" borderId="0" xfId="0" applyNumberFormat="1" applyFont="1" applyAlignment="1">
      <alignment wrapText="1"/>
    </xf>
    <xf numFmtId="0" fontId="4" fillId="0" borderId="18" xfId="0" applyFont="1" applyBorder="1" applyAlignment="1">
      <alignment horizontal="left"/>
    </xf>
    <xf numFmtId="0" fontId="4" fillId="0" borderId="19" xfId="0" applyFont="1" applyBorder="1" applyAlignment="1">
      <alignment horizontal="left"/>
    </xf>
    <xf numFmtId="0" fontId="6" fillId="0" borderId="0" xfId="0" applyFont="1"/>
    <xf numFmtId="0" fontId="4" fillId="0" borderId="20" xfId="0" applyFont="1" applyBorder="1" applyAlignment="1">
      <alignment horizontal="center" vertical="center"/>
    </xf>
    <xf numFmtId="0" fontId="6" fillId="0" borderId="18" xfId="0" applyFont="1" applyBorder="1" applyAlignment="1">
      <alignment horizontal="left"/>
    </xf>
    <xf numFmtId="0" fontId="4" fillId="0" borderId="21" xfId="0" applyFont="1" applyBorder="1" applyAlignment="1">
      <alignment horizontal="center" vertical="center"/>
    </xf>
    <xf numFmtId="0" fontId="4" fillId="0" borderId="21" xfId="0" applyFont="1" applyBorder="1"/>
    <xf numFmtId="0" fontId="4" fillId="0" borderId="22" xfId="0" applyFont="1" applyBorder="1"/>
    <xf numFmtId="0" fontId="4" fillId="0" borderId="6" xfId="0" applyFont="1" applyBorder="1" applyAlignment="1">
      <alignment horizontal="center" vertical="center"/>
    </xf>
    <xf numFmtId="0" fontId="7" fillId="0" borderId="0" xfId="0" applyFont="1"/>
    <xf numFmtId="0" fontId="4" fillId="0" borderId="7" xfId="0" applyFont="1" applyBorder="1" applyAlignment="1">
      <alignment horizontal="left"/>
    </xf>
    <xf numFmtId="0" fontId="8" fillId="0" borderId="10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10" fillId="0" borderId="27" xfId="0" applyFont="1" applyBorder="1" applyAlignment="1" applyProtection="1">
      <alignment horizontal="center" wrapText="1"/>
      <protection locked="0"/>
    </xf>
    <xf numFmtId="0" fontId="10" fillId="0" borderId="28" xfId="0" applyFont="1" applyBorder="1" applyAlignment="1" applyProtection="1">
      <alignment horizontal="center" wrapText="1"/>
      <protection locked="0"/>
    </xf>
    <xf numFmtId="0" fontId="10" fillId="0" borderId="28" xfId="0" applyFont="1" applyBorder="1" applyAlignment="1" applyProtection="1">
      <alignment wrapText="1"/>
      <protection locked="0"/>
    </xf>
    <xf numFmtId="166" fontId="10" fillId="0" borderId="28" xfId="0" applyNumberFormat="1" applyFont="1" applyBorder="1" applyAlignment="1" applyProtection="1">
      <alignment wrapText="1"/>
      <protection locked="0"/>
    </xf>
    <xf numFmtId="166" fontId="8" fillId="0" borderId="29" xfId="0" applyNumberFormat="1" applyFont="1" applyBorder="1" applyAlignment="1" applyProtection="1">
      <alignment wrapText="1"/>
      <protection locked="0"/>
    </xf>
    <xf numFmtId="166" fontId="10" fillId="0" borderId="30" xfId="0" applyNumberFormat="1" applyFont="1" applyBorder="1" applyAlignment="1">
      <alignment horizontal="right" vertical="top" wrapText="1"/>
    </xf>
    <xf numFmtId="14" fontId="10" fillId="0" borderId="30" xfId="0" applyNumberFormat="1" applyFont="1" applyBorder="1" applyAlignment="1">
      <alignment horizontal="center" vertical="center" wrapText="1"/>
    </xf>
    <xf numFmtId="0" fontId="10" fillId="0" borderId="31" xfId="0" applyFont="1" applyBorder="1" applyAlignment="1" applyProtection="1">
      <alignment horizontal="center" wrapText="1"/>
      <protection locked="0"/>
    </xf>
    <xf numFmtId="14" fontId="10" fillId="0" borderId="30" xfId="0" applyNumberFormat="1" applyFont="1" applyBorder="1" applyAlignment="1">
      <alignment horizontal="right" vertical="top" wrapText="1"/>
    </xf>
    <xf numFmtId="0" fontId="4" fillId="0" borderId="32" xfId="0" applyFont="1" applyBorder="1"/>
    <xf numFmtId="0" fontId="4" fillId="0" borderId="33" xfId="0" applyFont="1" applyBorder="1"/>
    <xf numFmtId="0" fontId="4" fillId="0" borderId="33" xfId="0" applyFont="1" applyBorder="1" applyAlignment="1">
      <alignment horizontal="center" vertical="center"/>
    </xf>
    <xf numFmtId="167" fontId="4" fillId="0" borderId="33" xfId="0" applyNumberFormat="1" applyFont="1" applyBorder="1" applyAlignment="1">
      <alignment horizontal="center" vertical="center"/>
    </xf>
    <xf numFmtId="0" fontId="4" fillId="0" borderId="34" xfId="0" applyFont="1" applyBorder="1"/>
    <xf numFmtId="0" fontId="4" fillId="0" borderId="4" xfId="0" applyFont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center" wrapText="1"/>
    </xf>
    <xf numFmtId="0" fontId="4" fillId="0" borderId="3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10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/>
    </xf>
    <xf numFmtId="0" fontId="7" fillId="0" borderId="10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35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20" xfId="0" applyFont="1" applyBorder="1" applyAlignment="1">
      <alignment vertical="center"/>
    </xf>
    <xf numFmtId="0" fontId="11" fillId="0" borderId="16" xfId="0" applyFont="1" applyBorder="1" applyAlignment="1">
      <alignment horizontal="left" vertical="center"/>
    </xf>
    <xf numFmtId="0" fontId="4" fillId="0" borderId="21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0" fontId="9" fillId="0" borderId="0" xfId="0" applyFont="1"/>
    <xf numFmtId="0" fontId="7" fillId="0" borderId="16" xfId="0" applyFont="1" applyBorder="1"/>
    <xf numFmtId="0" fontId="7" fillId="0" borderId="0" xfId="0" applyFont="1" applyAlignment="1">
      <alignment wrapText="1"/>
    </xf>
    <xf numFmtId="0" fontId="7" fillId="0" borderId="18" xfId="0" applyFont="1" applyBorder="1"/>
    <xf numFmtId="0" fontId="12" fillId="0" borderId="36" xfId="0" applyFont="1" applyBorder="1" applyAlignment="1">
      <alignment vertical="center" wrapText="1"/>
    </xf>
    <xf numFmtId="0" fontId="12" fillId="0" borderId="34" xfId="0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12" fillId="0" borderId="9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114300</xdr:rowOff>
    </xdr:from>
    <xdr:to>
      <xdr:col>2</xdr:col>
      <xdr:colOff>539115</xdr:colOff>
      <xdr:row>2</xdr:row>
      <xdr:rowOff>57150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295275</xdr:colOff>
      <xdr:row>0</xdr:row>
      <xdr:rowOff>123825</xdr:rowOff>
    </xdr:from>
    <xdr:to>
      <xdr:col>10</xdr:col>
      <xdr:colOff>824865</xdr:colOff>
      <xdr:row>2</xdr:row>
      <xdr:rowOff>123825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10</xdr:col>
      <xdr:colOff>924567</xdr:colOff>
      <xdr:row>56</xdr:row>
      <xdr:rowOff>3511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Huber.Hu@arrow.com" TargetMode="External"/><Relationship Id="rId2" Type="http://schemas.openxmlformats.org/officeDocument/2006/relationships/hyperlink" Target="mailto:zhou@hongbangtech.com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4"/>
  <sheetViews>
    <sheetView workbookViewId="0" showGridLines="0" zoomScale="100" zoomScaleNormal="100">
      <selection activeCell="D62" sqref="D62"/>
    </sheetView>
  </sheetViews>
  <sheetFormatPr defaultRowHeight="14.25" outlineLevelRow="0" outlineLevelCol="0" x14ac:dyDescent="0" defaultColWidth="9" customHeight="1"/>
  <cols>
    <col min="2" max="2" width="13.1083333333333" customWidth="1"/>
    <col min="3" max="3" width="20.6666666666667" customWidth="1"/>
    <col min="4" max="4" width="18" customWidth="1"/>
    <col min="5" max="5" width="10" customWidth="1"/>
    <col min="6" max="7" width="9.88333333333333" customWidth="1"/>
    <col min="8" max="9" width="11.775" customWidth="1"/>
    <col min="10" max="11" width="14.6666666666667" customWidth="1"/>
    <col min="15" max="15" width="8.775" customWidth="1"/>
    <col min="16" max="16" width="3.21666666666667" customWidth="1"/>
    <col min="17" max="17" width="24.8833333333333" hidden="1" customWidth="1"/>
    <col min="18" max="18" width="15.6666666666667" hidden="1" customWidth="1"/>
  </cols>
  <sheetData>
    <row r="1" spans="1:18" x14ac:dyDescent="0.2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8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8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8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8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ht="24.75" customHeight="1" spans="1:18" x14ac:dyDescent="0.25">
      <c r="J6" s="2" t="s">
        <v>1</v>
      </c>
      <c r="Q6" s="3" t="s">
        <v>2</v>
      </c>
      <c r="R6" s="3" t="s">
        <v>2</v>
      </c>
    </row>
    <row r="7" ht="23.25" customHeight="1" spans="1:18" x14ac:dyDescent="0.25">
      <c r="B7" s="4" t="s">
        <v>3</v>
      </c>
      <c r="C7" s="5" t="s">
        <v>4</v>
      </c>
      <c r="D7" s="6"/>
      <c r="E7" s="7" t="s">
        <v>5</v>
      </c>
      <c r="F7" s="7"/>
      <c r="G7" s="6"/>
      <c r="H7" s="8"/>
      <c r="I7" s="6"/>
      <c r="J7" s="7" t="s">
        <v>6</v>
      </c>
      <c r="K7" s="9">
        <v>46079</v>
      </c>
      <c r="L7" s="10"/>
      <c r="Q7" s="11" t="s">
        <v>7</v>
      </c>
      <c r="R7" s="3" t="s">
        <v>8</v>
      </c>
    </row>
    <row r="8" ht="6" customHeight="1" spans="1:18" x14ac:dyDescent="0.25">
      <c r="B8" s="12"/>
      <c r="C8" s="13"/>
      <c r="D8" s="13"/>
      <c r="E8" s="13"/>
      <c r="F8" s="13"/>
      <c r="G8" s="13"/>
      <c r="H8" s="14"/>
      <c r="I8" s="13"/>
      <c r="J8" s="13"/>
      <c r="K8" s="13"/>
      <c r="L8" s="15"/>
      <c r="Q8" s="11" t="s">
        <v>9</v>
      </c>
      <c r="R8" s="3" t="s">
        <v>10</v>
      </c>
    </row>
    <row r="9" ht="21.75" customHeight="1" spans="1:18" x14ac:dyDescent="0.25">
      <c r="B9" s="16" t="s">
        <v>11</v>
      </c>
      <c r="C9" s="5" t="s">
        <v>12</v>
      </c>
      <c r="D9" s="17" t="s">
        <v>13</v>
      </c>
      <c r="E9" s="17"/>
      <c r="F9" s="18"/>
      <c r="G9" s="19" t="s">
        <v>14</v>
      </c>
      <c r="H9" s="7" t="s">
        <v>12</v>
      </c>
      <c r="I9" s="17" t="s">
        <v>15</v>
      </c>
      <c r="J9" s="17"/>
      <c r="K9" s="17"/>
      <c r="L9" s="18"/>
      <c r="Q9" s="20" t="s">
        <v>16</v>
      </c>
      <c r="R9" s="3" t="s">
        <v>17</v>
      </c>
    </row>
    <row r="10" ht="21.75" customHeight="1" spans="1:18" x14ac:dyDescent="0.25">
      <c r="B10" s="21"/>
      <c r="C10" s="22" t="s">
        <v>18</v>
      </c>
      <c r="D10" s="23" t="s">
        <v>19</v>
      </c>
      <c r="E10" s="23"/>
      <c r="F10" s="24"/>
      <c r="G10" s="25"/>
      <c r="H10" s="26" t="s">
        <v>18</v>
      </c>
      <c r="I10" s="23" t="s">
        <v>20</v>
      </c>
      <c r="J10" s="23"/>
      <c r="K10" s="23"/>
      <c r="L10" s="24"/>
      <c r="Q10" s="27" t="s">
        <v>21</v>
      </c>
      <c r="R10" s="3" t="s">
        <v>22</v>
      </c>
    </row>
    <row r="11" ht="21.75" customHeight="1" spans="1:18" x14ac:dyDescent="0.25">
      <c r="B11" s="21"/>
      <c r="C11" s="28"/>
      <c r="D11" s="29"/>
      <c r="E11" s="29"/>
      <c r="F11" s="30"/>
      <c r="G11" s="25"/>
      <c r="H11" s="26"/>
      <c r="I11" s="29"/>
      <c r="J11" s="29"/>
      <c r="K11" s="29"/>
      <c r="L11" s="30"/>
      <c r="Q11" s="31" t="s">
        <v>23</v>
      </c>
      <c r="R11" s="3" t="s">
        <v>24</v>
      </c>
    </row>
    <row r="12" ht="21.75" customHeight="1" spans="1:18" x14ac:dyDescent="0.25">
      <c r="B12" s="21"/>
      <c r="C12" s="22" t="s">
        <v>25</v>
      </c>
      <c r="D12" s="32" t="s">
        <v>26</v>
      </c>
      <c r="E12" s="33"/>
      <c r="F12" s="34"/>
      <c r="G12" s="25"/>
      <c r="H12" s="26" t="s">
        <v>25</v>
      </c>
      <c r="I12" s="35" t="s">
        <v>27</v>
      </c>
      <c r="J12" s="36"/>
      <c r="K12" s="36"/>
      <c r="L12" s="37"/>
      <c r="Q12" s="38" t="s">
        <v>28</v>
      </c>
      <c r="R12" s="3" t="s">
        <v>29</v>
      </c>
    </row>
    <row r="13" ht="21.75" customHeight="1" spans="1:18" x14ac:dyDescent="0.25">
      <c r="B13" s="21"/>
      <c r="C13" s="22" t="s">
        <v>30</v>
      </c>
      <c r="D13" s="33">
        <v>18395859466</v>
      </c>
      <c r="E13" s="32"/>
      <c r="F13" s="34"/>
      <c r="G13" s="25"/>
      <c r="H13" s="26" t="s">
        <v>30</v>
      </c>
      <c r="I13" s="39">
        <v>13957570881</v>
      </c>
      <c r="J13" s="39"/>
      <c r="K13" s="39"/>
      <c r="L13" s="40"/>
      <c r="Q13" s="31" t="s">
        <v>31</v>
      </c>
      <c r="R13" s="3" t="s">
        <v>32</v>
      </c>
    </row>
    <row r="14" ht="21.75" customHeight="1" spans="1:18" x14ac:dyDescent="0.25">
      <c r="B14" s="21"/>
      <c r="C14" s="22" t="s">
        <v>33</v>
      </c>
      <c r="D14" s="41" t="s">
        <v>34</v>
      </c>
      <c r="E14" s="33"/>
      <c r="F14" s="42"/>
      <c r="G14" s="25"/>
      <c r="H14" s="26" t="s">
        <v>33</v>
      </c>
      <c r="I14" s="43" t="s">
        <v>35</v>
      </c>
      <c r="J14" s="39"/>
      <c r="K14" s="39"/>
      <c r="L14" s="40"/>
      <c r="Q14" s="31" t="s">
        <v>36</v>
      </c>
      <c r="R14" s="3" t="s">
        <v>37</v>
      </c>
    </row>
    <row r="15" ht="7.5" customHeight="1" spans="1:18" x14ac:dyDescent="0.25">
      <c r="B15" s="44"/>
      <c r="C15" s="45"/>
      <c r="D15" s="14"/>
      <c r="E15" s="14"/>
      <c r="F15" s="46"/>
      <c r="G15" s="47"/>
      <c r="H15" s="13"/>
      <c r="I15" s="13"/>
      <c r="J15" s="13"/>
      <c r="K15" s="13"/>
      <c r="L15" s="15"/>
      <c r="Q15" s="11" t="s">
        <v>38</v>
      </c>
      <c r="R15" s="3"/>
    </row>
    <row r="16" ht="45" customHeight="1" spans="1:18" x14ac:dyDescent="0.25"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Q16" s="11" t="s">
        <v>13</v>
      </c>
      <c r="R16" s="3" t="s">
        <v>39</v>
      </c>
    </row>
    <row r="17" ht="15" customHeight="1" spans="1:18" x14ac:dyDescent="0.25">
      <c r="B17" s="49" t="s">
        <v>40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</row>
    <row r="18" ht="29.25" customHeight="1" spans="1:18" x14ac:dyDescent="0.25">
      <c r="B18" s="50" t="s">
        <v>41</v>
      </c>
      <c r="C18" s="51" t="s">
        <v>42</v>
      </c>
      <c r="D18" s="51" t="s">
        <v>43</v>
      </c>
      <c r="E18" s="51" t="s">
        <v>44</v>
      </c>
      <c r="F18" s="52" t="s">
        <v>45</v>
      </c>
      <c r="G18" s="53" t="s">
        <v>46</v>
      </c>
      <c r="H18" s="52" t="s">
        <v>47</v>
      </c>
      <c r="I18" s="52" t="s">
        <v>48</v>
      </c>
      <c r="J18" s="52" t="s">
        <v>49</v>
      </c>
      <c r="K18" s="54" t="s">
        <v>50</v>
      </c>
      <c r="L18" s="55" t="s">
        <v>51</v>
      </c>
    </row>
    <row r="19" spans="1:18" x14ac:dyDescent="0.25">
      <c r="B19" s="56" t="s">
        <v>52</v>
      </c>
      <c r="C19" s="57" t="s">
        <v>53</v>
      </c>
      <c r="D19" s="57">
        <v>2523</v>
      </c>
      <c r="E19" s="58">
        <v>20</v>
      </c>
      <c r="F19" s="59"/>
      <c r="G19" s="59"/>
      <c r="H19" s="60"/>
      <c r="I19" s="61"/>
      <c r="J19" s="61">
        <f>I19*E19</f>
      </c>
      <c r="K19" s="62"/>
      <c r="L19" s="63"/>
    </row>
    <row r="20" spans="1:18" x14ac:dyDescent="0.25">
      <c r="B20" s="56" t="s">
        <v>54</v>
      </c>
      <c r="C20" s="57" t="s">
        <v>55</v>
      </c>
      <c r="D20" s="57"/>
      <c r="E20" s="58">
        <v>200</v>
      </c>
      <c r="F20" s="59"/>
      <c r="G20" s="59"/>
      <c r="H20" s="60"/>
      <c r="I20" s="61">
        <v>38.42</v>
      </c>
      <c r="J20" s="61">
        <f t="shared" ref="J19" si="0">I19*E19</f>
        <v>7684</v>
      </c>
      <c r="K20" s="62" t="s">
        <v>56</v>
      </c>
      <c r="L20" s="63"/>
    </row>
    <row r="21" spans="1:18" x14ac:dyDescent="0.25">
      <c r="B21" s="56"/>
      <c r="C21" s="57"/>
      <c r="D21" s="57"/>
      <c r="E21" s="58"/>
      <c r="F21" s="59"/>
      <c r="G21" s="59"/>
      <c r="H21" s="60"/>
      <c r="I21" s="61"/>
      <c r="J21" s="61"/>
      <c r="K21" s="64"/>
      <c r="L21" s="63"/>
    </row>
    <row r="22" spans="1:18" x14ac:dyDescent="0.25">
      <c r="B22" s="56"/>
      <c r="C22" s="57"/>
      <c r="D22" s="57"/>
      <c r="E22" s="58"/>
      <c r="F22" s="59"/>
      <c r="G22" s="59"/>
      <c r="H22" s="60"/>
      <c r="I22" s="61"/>
      <c r="J22" s="61"/>
      <c r="K22" s="64"/>
      <c r="L22" s="63"/>
    </row>
    <row r="23" spans="1:18" x14ac:dyDescent="0.25">
      <c r="B23" s="56"/>
      <c r="C23" s="57"/>
      <c r="D23" s="57"/>
      <c r="E23" s="58"/>
      <c r="F23" s="59"/>
      <c r="G23" s="59"/>
      <c r="H23" s="60"/>
      <c r="I23" s="61"/>
      <c r="J23" s="61"/>
      <c r="K23" s="64"/>
      <c r="L23" s="63"/>
    </row>
    <row r="24" spans="1:18" x14ac:dyDescent="0.25">
      <c r="B24" s="56"/>
      <c r="C24" s="57"/>
      <c r="D24" s="57"/>
      <c r="E24" s="58"/>
      <c r="F24" s="59"/>
      <c r="G24" s="59"/>
      <c r="H24" s="60"/>
      <c r="I24" s="61"/>
      <c r="J24" s="61"/>
      <c r="K24" s="64"/>
      <c r="L24" s="63"/>
    </row>
    <row r="25" spans="1:18" x14ac:dyDescent="0.25">
      <c r="B25" s="56"/>
      <c r="C25" s="57"/>
      <c r="D25" s="57"/>
      <c r="E25" s="58"/>
      <c r="F25" s="59"/>
      <c r="G25" s="59"/>
      <c r="H25" s="60"/>
      <c r="I25" s="61"/>
      <c r="J25" s="61"/>
      <c r="K25" s="64"/>
      <c r="L25" s="63"/>
    </row>
    <row r="26" spans="1:18" x14ac:dyDescent="0.25">
      <c r="B26" s="56"/>
      <c r="C26" s="57"/>
      <c r="D26" s="57"/>
      <c r="E26" s="58"/>
      <c r="F26" s="59"/>
      <c r="G26" s="59"/>
      <c r="H26" s="60"/>
      <c r="I26" s="61"/>
      <c r="J26" s="61"/>
      <c r="K26" s="64"/>
      <c r="L26" s="63"/>
    </row>
    <row r="27" spans="1:18" x14ac:dyDescent="0.25">
      <c r="B27" s="56"/>
      <c r="C27" s="57"/>
      <c r="D27" s="57"/>
      <c r="E27" s="58"/>
      <c r="F27" s="59"/>
      <c r="G27" s="59"/>
      <c r="H27" s="60"/>
      <c r="J27" s="61"/>
      <c r="K27" s="64"/>
      <c r="L27" s="63"/>
    </row>
    <row r="28" ht="15" customHeight="1" spans="1:18" x14ac:dyDescent="0.25">
      <c r="B28" s="56"/>
      <c r="C28" s="57"/>
      <c r="D28" s="57"/>
      <c r="E28" s="58"/>
      <c r="F28" s="59"/>
      <c r="G28" s="59"/>
      <c r="H28" s="60"/>
      <c r="I28" s="61"/>
      <c r="J28" s="61"/>
      <c r="K28" s="64"/>
      <c r="L28" s="63"/>
    </row>
    <row r="29" ht="26.25" customHeight="1" spans="1:18" s="2" customFormat="1" x14ac:dyDescent="0.25">
      <c r="A29" s="2"/>
      <c r="B29" s="65"/>
      <c r="C29" s="66"/>
      <c r="D29" s="66"/>
      <c r="E29" s="66"/>
      <c r="F29" s="66"/>
      <c r="G29" s="66"/>
      <c r="H29" s="66"/>
      <c r="I29" s="67" t="s">
        <v>57</v>
      </c>
      <c r="J29" s="68">
        <f>SUM(J19:J27)</f>
        <v>7684</v>
      </c>
      <c r="K29" s="66"/>
      <c r="L29" s="69"/>
      <c r="M29" s="2"/>
      <c r="N29" s="2"/>
      <c r="O29" s="2"/>
      <c r="P29" s="2"/>
      <c r="Q29" s="2"/>
      <c r="R29" s="2"/>
    </row>
    <row r="30" ht="5.25" customHeight="1" spans="1:18" s="2" customFormat="1" x14ac:dyDescent="0.25">
      <c r="A30" s="2"/>
      <c r="B30" s="66"/>
      <c r="C30" s="7"/>
      <c r="D30" s="7"/>
      <c r="E30" s="7"/>
      <c r="F30" s="7"/>
      <c r="G30" s="7"/>
      <c r="H30" s="7"/>
      <c r="I30" s="70"/>
      <c r="J30" s="71"/>
      <c r="K30" s="7"/>
      <c r="L30" s="7"/>
      <c r="M30" s="2"/>
      <c r="N30" s="2"/>
      <c r="O30" s="2"/>
      <c r="P30" s="2"/>
      <c r="Q30" s="2"/>
      <c r="R30" s="2"/>
    </row>
    <row r="31" ht="18.75" customHeight="1" spans="1:18" x14ac:dyDescent="0.25">
      <c r="B31" s="72" t="s">
        <v>58</v>
      </c>
      <c r="C31" s="72"/>
      <c r="D31" s="72"/>
      <c r="E31" s="72"/>
      <c r="F31" s="72"/>
      <c r="G31" s="72"/>
      <c r="H31" s="72"/>
      <c r="I31" s="72"/>
      <c r="J31" s="72"/>
      <c r="K31" s="72"/>
      <c r="L31" s="72"/>
    </row>
    <row r="32" ht="15" customHeight="1" spans="1:18" x14ac:dyDescent="0.25"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</row>
    <row r="33" ht="5.25" customHeight="1" spans="1:18" x14ac:dyDescent="0.25">
      <c r="B33" s="73"/>
      <c r="C33" s="74"/>
      <c r="D33" s="74"/>
      <c r="E33" s="74"/>
      <c r="F33" s="74"/>
      <c r="G33" s="74"/>
      <c r="H33" s="74"/>
      <c r="I33" s="74"/>
      <c r="J33" s="74"/>
      <c r="K33" s="74"/>
      <c r="L33" s="73"/>
    </row>
    <row r="34" spans="1:18" x14ac:dyDescent="0.25">
      <c r="B34" s="75" t="s">
        <v>59</v>
      </c>
      <c r="C34" s="76"/>
      <c r="D34" s="76"/>
      <c r="E34" s="76"/>
      <c r="F34" s="76"/>
      <c r="G34" s="75" t="s">
        <v>60</v>
      </c>
      <c r="H34" s="76"/>
      <c r="I34" s="76"/>
      <c r="J34" s="76"/>
      <c r="K34" s="76"/>
      <c r="L34" s="76"/>
    </row>
    <row r="35" spans="1:18" x14ac:dyDescent="0.25">
      <c r="B35" s="75"/>
      <c r="C35" s="76"/>
      <c r="D35" s="76"/>
      <c r="E35" s="76"/>
      <c r="F35" s="76"/>
      <c r="G35" s="75"/>
      <c r="H35" s="76"/>
      <c r="I35" s="76"/>
      <c r="J35" s="76"/>
      <c r="K35" s="76"/>
      <c r="L35" s="76"/>
    </row>
    <row r="36" spans="1:18" x14ac:dyDescent="0.25">
      <c r="B36" s="75"/>
      <c r="C36" s="76"/>
      <c r="D36" s="76"/>
      <c r="E36" s="76"/>
      <c r="F36" s="76"/>
      <c r="G36" s="75"/>
      <c r="H36" s="76"/>
      <c r="I36" s="76"/>
      <c r="J36" s="76"/>
      <c r="K36" s="76"/>
      <c r="L36" s="76"/>
    </row>
    <row r="37" spans="1:18" x14ac:dyDescent="0.25">
      <c r="B37" s="75"/>
      <c r="C37" s="76"/>
      <c r="D37" s="76"/>
      <c r="E37" s="76"/>
      <c r="F37" s="76"/>
      <c r="G37" s="75"/>
      <c r="H37" s="76"/>
      <c r="I37" s="76"/>
      <c r="J37" s="76"/>
      <c r="K37" s="76"/>
      <c r="L37" s="76"/>
    </row>
    <row r="38" ht="15" customHeight="1" spans="1:18" x14ac:dyDescent="0.25">
      <c r="B38" s="75"/>
      <c r="C38" s="76"/>
      <c r="D38" s="76"/>
      <c r="E38" s="76"/>
      <c r="F38" s="76"/>
      <c r="G38" s="75"/>
      <c r="H38" s="76"/>
      <c r="I38" s="76"/>
      <c r="J38" s="76"/>
      <c r="K38" s="76"/>
      <c r="L38" s="76"/>
    </row>
    <row r="39" ht="5.25" customHeight="1" spans="1:18" x14ac:dyDescent="0.25"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</row>
    <row r="40" ht="20.25" customHeight="1" spans="1:18" x14ac:dyDescent="0.25">
      <c r="B40" s="77"/>
      <c r="C40" s="78"/>
      <c r="D40" s="78"/>
      <c r="E40" s="78"/>
      <c r="F40" s="78"/>
      <c r="G40" s="78"/>
      <c r="H40" s="78"/>
      <c r="I40" s="78"/>
      <c r="J40" s="78"/>
      <c r="K40" s="78"/>
      <c r="L40" s="79"/>
    </row>
    <row r="41" ht="21" customHeight="1" spans="1:18" x14ac:dyDescent="0.25">
      <c r="B41" s="80" t="s">
        <v>61</v>
      </c>
      <c r="C41" s="81"/>
      <c r="D41" s="81"/>
      <c r="E41" s="81"/>
      <c r="F41" s="81"/>
      <c r="G41" s="81"/>
      <c r="H41" s="81"/>
      <c r="I41" s="81"/>
      <c r="J41" s="81"/>
      <c r="K41" s="81"/>
      <c r="L41" s="82"/>
    </row>
    <row r="42" spans="1:18" x14ac:dyDescent="0.25">
      <c r="B42" s="80"/>
      <c r="C42" s="81"/>
      <c r="D42" s="81"/>
      <c r="E42" s="81"/>
      <c r="F42" s="81"/>
      <c r="G42" s="81"/>
      <c r="H42" s="81"/>
      <c r="I42" s="81"/>
      <c r="J42" s="81"/>
      <c r="K42" s="81"/>
      <c r="L42" s="82"/>
    </row>
    <row r="43" spans="1:18" x14ac:dyDescent="0.25">
      <c r="B43" s="80" t="s">
        <v>62</v>
      </c>
      <c r="C43" s="83" t="s">
        <v>20</v>
      </c>
      <c r="D43" s="83"/>
      <c r="E43" s="83"/>
      <c r="F43" s="83"/>
      <c r="G43" s="83"/>
      <c r="H43" s="83"/>
      <c r="I43" s="83"/>
      <c r="J43" s="83"/>
      <c r="K43" s="83"/>
      <c r="L43" s="82"/>
    </row>
    <row r="44" ht="15" customHeight="1" spans="1:18" x14ac:dyDescent="0.25">
      <c r="B44" s="84"/>
      <c r="C44" s="85"/>
      <c r="D44" s="85"/>
      <c r="E44" s="85"/>
      <c r="F44" s="85"/>
      <c r="G44" s="85"/>
      <c r="H44" s="85"/>
      <c r="I44" s="85"/>
      <c r="J44" s="85"/>
      <c r="K44" s="85"/>
      <c r="L44" s="86"/>
    </row>
    <row r="45" spans="1:18" x14ac:dyDescent="0.25"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</row>
    <row r="46" spans="1:18" x14ac:dyDescent="0.25">
      <c r="B46" s="87" t="s">
        <v>63</v>
      </c>
      <c r="C46" s="87"/>
      <c r="D46" s="87"/>
      <c r="E46" s="87"/>
      <c r="F46" s="87"/>
      <c r="G46" s="87"/>
      <c r="H46" s="87"/>
      <c r="I46" s="87"/>
      <c r="J46" s="87"/>
      <c r="K46" s="87"/>
      <c r="L46" s="87"/>
    </row>
    <row r="47" spans="1:18" x14ac:dyDescent="0.25"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</row>
    <row r="48" spans="1:18" x14ac:dyDescent="0.25"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</row>
    <row r="49" spans="1:18" x14ac:dyDescent="0.25"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</row>
    <row r="50" spans="1:18" x14ac:dyDescent="0.25"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</row>
    <row r="51" spans="1:18" x14ac:dyDescent="0.25"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</row>
    <row r="52" spans="1:18" x14ac:dyDescent="0.25"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</row>
    <row r="53" spans="1:18" x14ac:dyDescent="0.25"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</row>
    <row r="54" spans="1:18" x14ac:dyDescent="0.25"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</row>
    <row r="55" spans="1:18" x14ac:dyDescent="0.25"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</row>
    <row r="56" spans="1:18" x14ac:dyDescent="0.25"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</row>
    <row r="57" ht="31.5" customHeight="1" spans="1:18" x14ac:dyDescent="0.25"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</row>
    <row r="58" ht="87.75" customHeight="1" spans="1:18" x14ac:dyDescent="0.25">
      <c r="B58" s="88"/>
      <c r="C58" s="88"/>
      <c r="D58" s="88"/>
      <c r="E58" s="88"/>
      <c r="F58" s="88"/>
      <c r="G58" s="88"/>
      <c r="H58" s="88"/>
      <c r="I58" s="88"/>
      <c r="J58" s="88"/>
      <c r="K58" s="88"/>
      <c r="L58" s="88"/>
    </row>
    <row r="59" ht="28.5" customHeight="1" spans="1:18" x14ac:dyDescent="0.25">
      <c r="B59" s="26" t="s">
        <v>64</v>
      </c>
      <c r="C59" s="48"/>
      <c r="D59" s="48"/>
      <c r="E59" s="48"/>
      <c r="F59" s="48"/>
      <c r="G59" s="89" t="s">
        <v>65</v>
      </c>
      <c r="H59" s="26"/>
      <c r="I59" s="48"/>
      <c r="J59" s="48"/>
      <c r="K59" s="48"/>
      <c r="L59" s="48"/>
    </row>
    <row r="60" ht="10.5" customHeight="1" spans="1:18" x14ac:dyDescent="0.25">
      <c r="B60" s="48"/>
      <c r="C60" s="90"/>
      <c r="D60" s="90"/>
      <c r="E60" s="90"/>
      <c r="F60" s="48"/>
      <c r="G60" s="48"/>
      <c r="H60" s="90"/>
      <c r="I60" s="90"/>
      <c r="J60" s="90"/>
      <c r="K60" s="90"/>
      <c r="L60" s="90"/>
    </row>
    <row r="61" ht="31.5" customHeight="1" spans="1:18" x14ac:dyDescent="0.25">
      <c r="B61" s="91" t="s">
        <v>66</v>
      </c>
      <c r="C61" s="92"/>
      <c r="D61" s="92"/>
      <c r="E61" s="92"/>
      <c r="F61" s="48"/>
      <c r="G61" s="91" t="s">
        <v>67</v>
      </c>
      <c r="H61" s="92"/>
      <c r="I61" s="92"/>
      <c r="J61" s="92"/>
      <c r="K61" s="92"/>
      <c r="L61" s="92"/>
    </row>
    <row r="62" ht="30.75" customHeight="1" spans="1:18" x14ac:dyDescent="0.25">
      <c r="B62" s="48" t="s">
        <v>68</v>
      </c>
      <c r="C62" s="92" t="s">
        <v>69</v>
      </c>
      <c r="D62" s="92"/>
      <c r="E62" s="92"/>
      <c r="F62" s="48"/>
      <c r="G62" s="48" t="s">
        <v>68</v>
      </c>
      <c r="H62" s="92" t="s">
        <v>27</v>
      </c>
      <c r="I62" s="92"/>
      <c r="J62" s="92"/>
      <c r="K62" s="92"/>
      <c r="L62" s="92"/>
    </row>
    <row r="63" ht="30.75" customHeight="1" spans="1:18" x14ac:dyDescent="0.25">
      <c r="B63" s="48" t="s">
        <v>70</v>
      </c>
      <c r="C63" s="92" t="s">
        <v>71</v>
      </c>
      <c r="D63" s="92"/>
      <c r="E63" s="92"/>
      <c r="F63" s="48"/>
      <c r="G63" s="48" t="s">
        <v>70</v>
      </c>
      <c r="H63" s="92" t="s">
        <v>72</v>
      </c>
      <c r="I63" s="92"/>
      <c r="J63" s="92"/>
      <c r="K63" s="92"/>
      <c r="L63" s="92"/>
    </row>
    <row r="64" ht="18.75" customHeight="1" spans="1:18" x14ac:dyDescent="0.25"/>
  </sheetData>
  <mergeCells count="17">
    <mergeCell ref="B1:L5"/>
    <mergeCell ref="D9:F9"/>
    <mergeCell ref="I9:L9"/>
    <mergeCell ref="B9:B15"/>
    <mergeCell ref="D10:F11"/>
    <mergeCell ref="G9:G15"/>
    <mergeCell ref="I10:L11"/>
    <mergeCell ref="I13:L13"/>
    <mergeCell ref="I14:L14"/>
    <mergeCell ref="B17:L17"/>
    <mergeCell ref="B31:L32"/>
    <mergeCell ref="C34:F38"/>
    <mergeCell ref="H34:L38"/>
    <mergeCell ref="B34:B38"/>
    <mergeCell ref="G34:G38"/>
    <mergeCell ref="C43:K43"/>
    <mergeCell ref="B58:L58"/>
  </mergeCells>
  <dataValidations count="2">
    <dataValidation type="list" allowBlank="1" showInputMessage="1" showErrorMessage="1" sqref="D10:F11">
      <formula1>$R$6:$R$16</formula1>
    </dataValidation>
    <dataValidation type="list" allowBlank="1" showInputMessage="1" showErrorMessage="1" sqref="D9:F9">
      <formula1>$Q$6:$Q$16</formula1>
    </dataValidation>
  </dataValidations>
  <hyperlinks>
    <hyperlink ref="D14" r:id="rId1"/>
    <hyperlink ref="I14" r:id="rId2"/>
  </hyperlinks>
  <pageMargins left="0.708661417322835" right="0.708661417322835" top="0.748031496062992" bottom="0.748031496062992" header="0.31496062992126" footer="0.31496062992126"/>
  <pageSetup paperSize="9" orientation="portrait" horizontalDpi="4294967295" verticalDpi="4294967295" scale="62" fitToWidth="1" fitToHeight="1" firstPageNumber="1" useFirstPageNumber="1" copies="1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A1" sqref="A1"/>
    </sheetView>
  </sheetViews>
  <sheetFormatPr defaultRowHeight="14.25" outlineLevelRow="0" outlineLevelCol="0" x14ac:dyDescent="0" defaultColWidth="9" customHeight="1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B13" sqref="B13"/>
    </sheetView>
  </sheetViews>
  <sheetFormatPr defaultRowHeight="14.25" outlineLevelRow="0" outlineLevelCol="0" x14ac:dyDescent="0" defaultColWidth="9" customHeight="1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A1" sqref="A1"/>
    </sheetView>
  </sheetViews>
  <sheetFormatPr defaultRowHeight="14.25" outlineLevelRow="0" outlineLevelCol="0" x14ac:dyDescent="0" defaultColWidth="9" customHeight="1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A1" sqref="A1"/>
    </sheetView>
  </sheetViews>
  <sheetFormatPr defaultRowHeight="14.25" outlineLevelRow="0" outlineLevelCol="0" x14ac:dyDescent="0" defaultColWidth="9" customHeight="1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11"/>
  <sheetViews>
    <sheetView workbookViewId="0" zoomScale="100" zoomScaleNormal="100">
      <selection activeCell="D21" sqref="D21"/>
    </sheetView>
  </sheetViews>
  <sheetFormatPr defaultRowHeight="14.25" outlineLevelRow="0" outlineLevelCol="0" x14ac:dyDescent="0" defaultColWidth="9" customHeight="1"/>
  <cols>
    <col min="2" max="2" width="15.1083333333333" customWidth="1"/>
    <col min="3" max="3" width="25.2166666666667" customWidth="1"/>
  </cols>
  <sheetData>
    <row r="3" ht="15" customHeight="1" x14ac:dyDescent="0.25"/>
    <row r="4" ht="29.25" customHeight="1" spans="2:9" x14ac:dyDescent="0.25">
      <c r="B4" s="93" t="s">
        <v>73</v>
      </c>
      <c r="C4" s="94" t="s">
        <v>74</v>
      </c>
      <c r="D4" s="94" t="s">
        <v>75</v>
      </c>
      <c r="E4" s="94" t="s">
        <v>76</v>
      </c>
      <c r="F4" s="94" t="s">
        <v>77</v>
      </c>
      <c r="G4" s="94" t="s">
        <v>78</v>
      </c>
      <c r="H4" s="94" t="s">
        <v>79</v>
      </c>
      <c r="I4" s="94" t="s">
        <v>80</v>
      </c>
    </row>
    <row r="5" ht="15" customHeight="1" spans="2:9" x14ac:dyDescent="0.25">
      <c r="B5" s="95" t="s">
        <v>81</v>
      </c>
      <c r="C5" s="96" t="s">
        <v>82</v>
      </c>
      <c r="D5" s="97">
        <v>500</v>
      </c>
      <c r="E5" s="97">
        <v>500</v>
      </c>
      <c r="F5" s="97">
        <v>500</v>
      </c>
      <c r="G5" s="97">
        <v>23.6283</v>
      </c>
      <c r="H5" s="97">
        <v>26.7</v>
      </c>
      <c r="I5" s="97">
        <v>82</v>
      </c>
    </row>
    <row r="6" ht="15" customHeight="1" spans="2:9" x14ac:dyDescent="0.25">
      <c r="B6" s="95" t="s">
        <v>83</v>
      </c>
      <c r="C6" s="96" t="s">
        <v>84</v>
      </c>
      <c r="D6" s="97">
        <v>800</v>
      </c>
      <c r="E6" s="97">
        <v>800</v>
      </c>
      <c r="F6" s="97">
        <v>800</v>
      </c>
      <c r="G6" s="97">
        <v>7.07965</v>
      </c>
      <c r="H6" s="97">
        <v>8</v>
      </c>
      <c r="I6" s="97">
        <v>81</v>
      </c>
    </row>
    <row r="7" ht="15" customHeight="1" spans="2:9" x14ac:dyDescent="0.25">
      <c r="B7" s="95" t="s">
        <v>83</v>
      </c>
      <c r="C7" s="96" t="s">
        <v>85</v>
      </c>
      <c r="D7" s="97">
        <v>4000</v>
      </c>
      <c r="E7" s="97">
        <v>4000</v>
      </c>
      <c r="F7" s="97">
        <v>4000</v>
      </c>
      <c r="G7" s="97">
        <v>2.0354</v>
      </c>
      <c r="H7" s="97">
        <v>2.3</v>
      </c>
      <c r="I7" s="97">
        <v>52</v>
      </c>
    </row>
    <row r="8" ht="15" customHeight="1" spans="2:9" x14ac:dyDescent="0.25">
      <c r="B8" s="95" t="s">
        <v>81</v>
      </c>
      <c r="C8" s="96" t="s">
        <v>86</v>
      </c>
      <c r="D8" s="97">
        <v>2500</v>
      </c>
      <c r="E8" s="97">
        <v>2500</v>
      </c>
      <c r="F8" s="97">
        <v>2500</v>
      </c>
      <c r="G8" s="97">
        <v>3.18584</v>
      </c>
      <c r="H8" s="97">
        <v>3.6</v>
      </c>
      <c r="I8" s="97">
        <v>86</v>
      </c>
    </row>
    <row r="9" ht="15" customHeight="1" spans="2:9" x14ac:dyDescent="0.25">
      <c r="B9" s="95" t="s">
        <v>81</v>
      </c>
      <c r="C9" s="96" t="s">
        <v>87</v>
      </c>
      <c r="D9" s="97">
        <v>2500</v>
      </c>
      <c r="E9" s="97">
        <v>2500</v>
      </c>
      <c r="F9" s="97">
        <v>2500</v>
      </c>
      <c r="G9" s="97">
        <v>7.9646</v>
      </c>
      <c r="H9" s="97">
        <v>9</v>
      </c>
      <c r="I9" s="97">
        <v>87</v>
      </c>
    </row>
    <row r="10" ht="15" customHeight="1" spans="2:9" x14ac:dyDescent="0.25">
      <c r="B10" s="95" t="s">
        <v>81</v>
      </c>
      <c r="C10" s="96" t="s">
        <v>88</v>
      </c>
      <c r="D10" s="97">
        <v>1000</v>
      </c>
      <c r="E10" s="97">
        <v>1000</v>
      </c>
      <c r="F10" s="97">
        <v>1000</v>
      </c>
      <c r="G10" s="97">
        <v>18.5841</v>
      </c>
      <c r="H10" s="97">
        <v>21</v>
      </c>
      <c r="I10" s="97">
        <v>35</v>
      </c>
    </row>
    <row r="11" ht="15" customHeight="1" spans="2:9" x14ac:dyDescent="0.25">
      <c r="B11" s="95" t="s">
        <v>81</v>
      </c>
      <c r="C11" s="96" t="s">
        <v>89</v>
      </c>
      <c r="D11" s="97">
        <v>500</v>
      </c>
      <c r="E11" s="97">
        <v>500</v>
      </c>
      <c r="F11" s="97">
        <v>500</v>
      </c>
      <c r="G11" s="97">
        <v>23.8938</v>
      </c>
      <c r="H11" s="97">
        <v>27</v>
      </c>
      <c r="I11" s="97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周则尧</cp:lastModifiedBy>
  <dcterms:created xsi:type="dcterms:W3CDTF">2015-06-05T18:17:00Z</dcterms:created>
  <dcterms:modified xsi:type="dcterms:W3CDTF">2026-02-26T01:40:53Z</dcterms:modified>
</cp:coreProperties>
</file>